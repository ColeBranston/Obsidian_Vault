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4"/>
  <workbookPr showInkAnnotation="0" autoCompressPictures="0"/>
  <mc:AlternateContent xmlns:mc="http://schemas.openxmlformats.org/markup-compatibility/2006">
    <mc:Choice Requires="x15">
      <x15ac:absPath xmlns:x15ac="http://schemas.microsoft.com/office/spreadsheetml/2010/11/ac" url="/Users/jackpeplinski/Desktop/SOP/BUS_2257/"/>
    </mc:Choice>
  </mc:AlternateContent>
  <xr:revisionPtr revIDLastSave="0" documentId="13_ncr:1_{46C36FAD-7243-CB4F-9E97-84D7F2B23D6A}" xr6:coauthVersionLast="45" xr6:coauthVersionMax="45" xr10:uidLastSave="{00000000-0000-0000-0000-000000000000}"/>
  <bookViews>
    <workbookView xWindow="0" yWindow="460" windowWidth="28800" windowHeight="1610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65" i="1" l="1"/>
  <c r="H66" i="1" s="1"/>
  <c r="G124" i="1"/>
  <c r="H125" i="1" s="1"/>
  <c r="H121" i="1"/>
  <c r="G105" i="1"/>
  <c r="G109" i="1" s="1"/>
  <c r="G110" i="1" s="1"/>
  <c r="G87" i="1"/>
  <c r="H88" i="1" s="1"/>
  <c r="G80" i="1"/>
  <c r="H81" i="1" s="1"/>
  <c r="H62" i="1"/>
  <c r="G45" i="1"/>
  <c r="H46" i="1" s="1"/>
  <c r="G41" i="1"/>
  <c r="H42" i="1"/>
  <c r="H31" i="1"/>
  <c r="H32" i="1"/>
  <c r="G28" i="1"/>
  <c r="G29" i="1"/>
  <c r="G5" i="1"/>
  <c r="H6" i="1" s="1"/>
  <c r="G30" i="1" l="1"/>
  <c r="H106" i="1"/>
</calcChain>
</file>

<file path=xl/sharedStrings.xml><?xml version="1.0" encoding="utf-8"?>
<sst xmlns="http://schemas.openxmlformats.org/spreadsheetml/2006/main" count="140" uniqueCount="113">
  <si>
    <t>BARRY'S BATTING CAGES LTD.</t>
  </si>
  <si>
    <t>LAND AND BUILDING</t>
  </si>
  <si>
    <t>1.)</t>
  </si>
  <si>
    <t>Dr Depreciation Expense</t>
  </si>
  <si>
    <t>Cr A/D - Building</t>
  </si>
  <si>
    <t>(312,000-31,000)/30=9,367</t>
  </si>
  <si>
    <t>PITCHING MACHINES</t>
  </si>
  <si>
    <t>2.)</t>
  </si>
  <si>
    <t>Nov. 1/11</t>
  </si>
  <si>
    <t>Aug. 31/12</t>
  </si>
  <si>
    <t>Oct. 31/12</t>
  </si>
  <si>
    <t>76,540 balls each</t>
  </si>
  <si>
    <t>New 15,271 Old 13,456</t>
  </si>
  <si>
    <t>5 Machines</t>
  </si>
  <si>
    <t>H.C. 5,000 (each)</t>
  </si>
  <si>
    <t>R.V. 300 (each)</t>
  </si>
  <si>
    <t>U.L. 800K Balls (ea)</t>
  </si>
  <si>
    <t>U.O.O. Method</t>
  </si>
  <si>
    <t>3 Machines traded in</t>
  </si>
  <si>
    <t>Allowance: 3,000 (each)</t>
  </si>
  <si>
    <t>H.C. 6,500 (each)</t>
  </si>
  <si>
    <t>U.L. 1 million balls (ea)</t>
  </si>
  <si>
    <t>R.V. $0</t>
  </si>
  <si>
    <t>FYE</t>
  </si>
  <si>
    <t>AUGUST 31/12</t>
  </si>
  <si>
    <t>Cr A/D Pitching Machines</t>
  </si>
  <si>
    <t>450*5 = 2,250</t>
  </si>
  <si>
    <t>((5,000-3,000)/800,000)*76,540=450 (each)</t>
  </si>
  <si>
    <t>3.)</t>
  </si>
  <si>
    <t>Dr New Pitching Machines</t>
  </si>
  <si>
    <t>Dr A/D Pitching Machines</t>
  </si>
  <si>
    <t>Dr Loss on Trade</t>
  </si>
  <si>
    <t>Cr Pitching Machines</t>
  </si>
  <si>
    <t>Cr Cash</t>
  </si>
  <si>
    <t>New Machines: 6,500*3 = 19,500</t>
  </si>
  <si>
    <t>A/D Pitching Machines: (5,395+2,250)*(3/5)=4,587</t>
  </si>
  <si>
    <t>Pitching Machines: 5,000*3=15,000</t>
  </si>
  <si>
    <t>Cash: (6,500*3)-(3,000*3)=10,500</t>
  </si>
  <si>
    <t>NBV: H.C. -A/D = 15,000-4,587=10,413 (Since the NBV &gt; Trade In ----&gt; LOSS)</t>
  </si>
  <si>
    <t>LOSS: NBV - Trade In = 10,413 - 9,000 = 1,413</t>
  </si>
  <si>
    <t>OCTOBER 31/12</t>
  </si>
  <si>
    <t>4.)</t>
  </si>
  <si>
    <t>((5,000-300)/800,000)*13,456 balls each * 2 machines=158</t>
  </si>
  <si>
    <t>5.)</t>
  </si>
  <si>
    <t>Cr A/D - New Pitching Machines</t>
  </si>
  <si>
    <t>((6,500-0)/1,000,000)*15,271 balls each * 3 machines = 298</t>
  </si>
  <si>
    <t>BATTING CAGES</t>
  </si>
  <si>
    <t xml:space="preserve"> Oct. 31/12 </t>
  </si>
  <si>
    <t xml:space="preserve"> FYE </t>
  </si>
  <si>
    <t>5 CAGES</t>
  </si>
  <si>
    <t xml:space="preserve">H.C. 11,500 </t>
  </si>
  <si>
    <t>U.L. 5 years</t>
  </si>
  <si>
    <t>R.V. 150 (each)</t>
  </si>
  <si>
    <t>S.L. Method</t>
  </si>
  <si>
    <t>4,000 Repair</t>
  </si>
  <si>
    <t>June 8/12</t>
  </si>
  <si>
    <t>JUNE 8/12</t>
  </si>
  <si>
    <t>6.)</t>
  </si>
  <si>
    <t>Dr Repairs Expense</t>
  </si>
  <si>
    <t>7.)</t>
  </si>
  <si>
    <t>Cr A/D - Batting Cages</t>
  </si>
  <si>
    <t>TOKEN MACHINE</t>
  </si>
  <si>
    <t>H.C. 21,000</t>
  </si>
  <si>
    <t>U.L. 7 years</t>
  </si>
  <si>
    <t>R.V. 1,200</t>
  </si>
  <si>
    <t>D.D.B. Method</t>
  </si>
  <si>
    <t>12 MONTHS</t>
  </si>
  <si>
    <t>Impaired</t>
  </si>
  <si>
    <t>R.A. 5,000</t>
  </si>
  <si>
    <t>8.)</t>
  </si>
  <si>
    <t>Cr A/D - Token Machine</t>
  </si>
  <si>
    <t>(21,000-10,286)*2/7=3,061</t>
  </si>
  <si>
    <t>NBV = 21,000 - 10,286 - 3,061 = 7,653</t>
  </si>
  <si>
    <t>(Since the NBV &gt; RV this amount of depreciation is allowable)</t>
  </si>
  <si>
    <t>9.)</t>
  </si>
  <si>
    <t>Dr Impairment Loss</t>
  </si>
  <si>
    <t>Carrying Amount = 21,000-10,286-3,061=7,653</t>
  </si>
  <si>
    <t>Recoverable Amount = 5,000</t>
  </si>
  <si>
    <t>Impairment Loss = 7,653-5,000 = 2,653</t>
  </si>
  <si>
    <t>COMPUTER</t>
  </si>
  <si>
    <t>Nov. 14/11</t>
  </si>
  <si>
    <t>Dec. 26/11</t>
  </si>
  <si>
    <t>0.5 months</t>
  </si>
  <si>
    <t>1.5 months</t>
  </si>
  <si>
    <t>10 months</t>
  </si>
  <si>
    <t>Disposed</t>
  </si>
  <si>
    <t>Bought New</t>
  </si>
  <si>
    <t>H.C. 3,500</t>
  </si>
  <si>
    <t>R.V. 50</t>
  </si>
  <si>
    <t>T.D.B. Method</t>
  </si>
  <si>
    <t>U.L. 4 Years</t>
  </si>
  <si>
    <t>NOVEMBER 14/12</t>
  </si>
  <si>
    <t>10.)</t>
  </si>
  <si>
    <t>Cr A/D - Computer</t>
  </si>
  <si>
    <t>(2,200-100)/4)*(0.5/12)=22</t>
  </si>
  <si>
    <t>11.)</t>
  </si>
  <si>
    <t>Dr A/D - Computer</t>
  </si>
  <si>
    <t>Dr Loss on Disposal</t>
  </si>
  <si>
    <t>Cr Computer</t>
  </si>
  <si>
    <t>A/D-Computer: 1,050 (O/B) + 22 (T 10) = 1072</t>
  </si>
  <si>
    <t>Computer: Taken from Balance Sheet</t>
  </si>
  <si>
    <t>Cash: Given in Case</t>
  </si>
  <si>
    <t>LOSS: 2,200+150-1,072=1,278</t>
  </si>
  <si>
    <t>DECEMBER 26/12</t>
  </si>
  <si>
    <t>12.)</t>
  </si>
  <si>
    <t>Dr Computer</t>
  </si>
  <si>
    <t>13.)</t>
  </si>
  <si>
    <t>Depreciation Expense</t>
  </si>
  <si>
    <t xml:space="preserve">Cr A/D Computer </t>
  </si>
  <si>
    <t>(3,500-0)*(3/4)*(10/12)=2,188</t>
  </si>
  <si>
    <t>(11,500-750)/5*(12/12)=2,150</t>
  </si>
  <si>
    <t>Depreciate all machines up to Aug 31, 2012</t>
  </si>
  <si>
    <t>Note: Alternatively, you could also depreciate the two machines you're keeping for (76540+13456) balls and then depreciate the three machines you're trading-in in a seperate transaction. You would then ignore transaction 4. The dep. exp. for the two old machines you're keeping would be 1057 and the old machines you're trrading in would be 1349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</si>
</sst>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3" formatCode="_(* #,##0.00_);_(* \(#,##0.00\);_(* &quot;-&quot;??_);_(@_)"/>
    <numFmt numFmtId="164" formatCode="_(* #,##0_);_(* \(#,##0\);_(* &quot;-&quot;??_);_(@_)"/>
  </numFmts>
  <fonts count="9" x14ac:knownFonts="1">
    <font>
      <sz val="12"/>
      <color theme="1"/>
      <name val="Calibri"/>
      <family val="2"/>
      <scheme val="minor"/>
    </font>
    <font>
      <sz val="12"/>
      <color theme="1"/>
      <name val="Calibri"/>
      <family val="2"/>
      <scheme val="minor"/>
    </font>
    <font>
      <sz val="8"/>
      <name val="Calibri"/>
      <family val="2"/>
      <scheme val="minor"/>
    </font>
    <font>
      <sz val="20"/>
      <color theme="1"/>
      <name val="Calibri"/>
      <family val="2"/>
      <scheme val="minor"/>
    </font>
    <font>
      <b/>
      <u/>
      <sz val="12"/>
      <color theme="1"/>
      <name val="Calibri"/>
      <family val="2"/>
      <scheme val="minor"/>
    </font>
    <font>
      <u/>
      <sz val="12"/>
      <color theme="10"/>
      <name val="Calibri"/>
      <family val="2"/>
      <scheme val="minor"/>
    </font>
    <font>
      <u/>
      <sz val="12"/>
      <color theme="11"/>
      <name val="Calibri"/>
      <family val="2"/>
      <scheme val="minor"/>
    </font>
    <font>
      <b/>
      <u/>
      <sz val="12"/>
      <color rgb="FF000000"/>
      <name val="Calibri"/>
      <family val="2"/>
      <scheme val="minor"/>
    </font>
    <font>
      <sz val="12"/>
      <color rgb="FF000000"/>
      <name val="Calibri"/>
      <family val="2"/>
      <scheme val="minor"/>
    </font>
  </fonts>
  <fills count="2">
    <fill>
      <patternFill patternType="none"/>
    </fill>
    <fill>
      <patternFill patternType="gray125"/>
    </fill>
  </fills>
  <borders count="12">
    <border>
      <left/>
      <right/>
      <top/>
      <bottom/>
      <diagonal/>
    </border>
    <border>
      <left/>
      <right/>
      <top/>
      <bottom style="medium">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rgb="FF000000"/>
      </right>
      <top/>
      <bottom style="thin">
        <color auto="1"/>
      </bottom>
      <diagonal/>
    </border>
    <border>
      <left/>
      <right style="thin">
        <color rgb="FF000000"/>
      </right>
      <top style="thin">
        <color auto="1"/>
      </top>
      <bottom/>
      <diagonal/>
    </border>
    <border>
      <left style="thin">
        <color rgb="FF000000"/>
      </left>
      <right/>
      <top/>
      <bottom style="thin">
        <color auto="1"/>
      </bottom>
      <diagonal/>
    </border>
    <border>
      <left style="thin">
        <color rgb="FF000000"/>
      </left>
      <right/>
      <top style="thin">
        <color auto="1"/>
      </top>
      <bottom/>
      <diagonal/>
    </border>
  </borders>
  <cellStyleXfs count="18">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31">
    <xf numFmtId="0" fontId="0" fillId="0" borderId="0" xfId="0"/>
    <xf numFmtId="164" fontId="0" fillId="0" borderId="0" xfId="1" applyNumberFormat="1" applyFont="1"/>
    <xf numFmtId="0" fontId="0" fillId="0" borderId="0" xfId="0" applyAlignment="1"/>
    <xf numFmtId="0" fontId="8" fillId="0" borderId="0" xfId="0" applyFont="1"/>
    <xf numFmtId="164" fontId="8" fillId="0" borderId="0" xfId="0" applyNumberFormat="1" applyFont="1"/>
    <xf numFmtId="0" fontId="3" fillId="0" borderId="1" xfId="0" applyFont="1" applyBorder="1" applyAlignment="1">
      <alignment horizontal="center"/>
    </xf>
    <xf numFmtId="0" fontId="4" fillId="0" borderId="0" xfId="0" applyFont="1" applyAlignment="1">
      <alignment horizontal="left"/>
    </xf>
    <xf numFmtId="0" fontId="0" fillId="0" borderId="0" xfId="0" applyAlignment="1">
      <alignment horizontal="left"/>
    </xf>
    <xf numFmtId="0" fontId="0" fillId="0" borderId="0" xfId="0" applyAlignment="1">
      <alignment horizontal="left" indent="1"/>
    </xf>
    <xf numFmtId="164" fontId="8" fillId="0" borderId="0" xfId="0" applyNumberFormat="1" applyFont="1" applyAlignment="1">
      <alignment horizontal="center"/>
    </xf>
    <xf numFmtId="0" fontId="0" fillId="0" borderId="0" xfId="0" applyAlignment="1">
      <alignment horizontal="center"/>
    </xf>
    <xf numFmtId="0" fontId="8" fillId="0" borderId="0" xfId="0" applyFont="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9" xfId="0" applyFont="1" applyBorder="1" applyAlignment="1">
      <alignment horizontal="center"/>
    </xf>
    <xf numFmtId="0" fontId="8" fillId="0" borderId="11" xfId="0" applyFont="1" applyBorder="1" applyAlignment="1">
      <alignment horizontal="center"/>
    </xf>
    <xf numFmtId="0" fontId="8" fillId="0" borderId="3" xfId="0" applyFont="1" applyBorder="1" applyAlignment="1">
      <alignment horizontal="center"/>
    </xf>
    <xf numFmtId="0" fontId="8" fillId="0" borderId="2" xfId="0" applyFont="1" applyBorder="1" applyAlignment="1">
      <alignment horizontal="center"/>
    </xf>
    <xf numFmtId="0" fontId="8" fillId="0" borderId="8" xfId="0" applyFont="1" applyBorder="1" applyAlignment="1">
      <alignment horizontal="center"/>
    </xf>
    <xf numFmtId="164" fontId="0" fillId="0" borderId="0" xfId="1" applyNumberFormat="1" applyFont="1" applyAlignment="1">
      <alignment horizontal="center"/>
    </xf>
    <xf numFmtId="0" fontId="8" fillId="0" borderId="10" xfId="0" applyFont="1" applyBorder="1" applyAlignment="1">
      <alignment horizontal="center"/>
    </xf>
    <xf numFmtId="0" fontId="7" fillId="0" borderId="0" xfId="0" applyFont="1" applyAlignment="1">
      <alignment horizontal="left"/>
    </xf>
    <xf numFmtId="0" fontId="8" fillId="0" borderId="4" xfId="0" applyFont="1" applyBorder="1" applyAlignment="1">
      <alignment horizontal="center"/>
    </xf>
    <xf numFmtId="0" fontId="8" fillId="0" borderId="7" xfId="0" applyFont="1" applyBorder="1" applyAlignment="1">
      <alignment horizontal="center"/>
    </xf>
    <xf numFmtId="6" fontId="8" fillId="0" borderId="0" xfId="0" applyNumberFormat="1" applyFont="1" applyAlignment="1">
      <alignment horizontal="center"/>
    </xf>
  </cellXfs>
  <cellStyles count="18">
    <cellStyle name="Comma" xfId="1"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2"/>
  <sheetViews>
    <sheetView tabSelected="1" view="pageLayout" topLeftCell="A58" workbookViewId="0">
      <selection activeCell="B27" sqref="B27:F27"/>
    </sheetView>
  </sheetViews>
  <sheetFormatPr baseColWidth="10" defaultColWidth="11" defaultRowHeight="16" x14ac:dyDescent="0.2"/>
  <cols>
    <col min="1" max="1" width="5.33203125" customWidth="1"/>
  </cols>
  <sheetData>
    <row r="1" spans="1:8" ht="27" thickBot="1" x14ac:dyDescent="0.35">
      <c r="A1" s="5" t="s">
        <v>0</v>
      </c>
      <c r="B1" s="5"/>
      <c r="C1" s="5"/>
      <c r="D1" s="5"/>
      <c r="E1" s="5"/>
      <c r="F1" s="5"/>
      <c r="G1" s="5"/>
      <c r="H1" s="5"/>
    </row>
    <row r="3" spans="1:8" x14ac:dyDescent="0.2">
      <c r="A3" s="6" t="s">
        <v>1</v>
      </c>
      <c r="B3" s="6"/>
      <c r="C3" s="6"/>
      <c r="D3" s="6"/>
    </row>
    <row r="5" spans="1:8" x14ac:dyDescent="0.2">
      <c r="A5" t="s">
        <v>2</v>
      </c>
      <c r="B5" s="7" t="s">
        <v>3</v>
      </c>
      <c r="C5" s="7"/>
      <c r="D5" s="7"/>
      <c r="E5" s="7"/>
      <c r="F5" s="7"/>
      <c r="G5" s="1">
        <f>(312000-31000)/30</f>
        <v>9366.6666666666661</v>
      </c>
      <c r="H5" s="1"/>
    </row>
    <row r="6" spans="1:8" x14ac:dyDescent="0.2">
      <c r="B6" s="8" t="s">
        <v>4</v>
      </c>
      <c r="C6" s="8"/>
      <c r="D6" s="8"/>
      <c r="E6" s="8"/>
      <c r="F6" s="8"/>
      <c r="G6" s="1"/>
      <c r="H6" s="1">
        <f>G5</f>
        <v>9366.6666666666661</v>
      </c>
    </row>
    <row r="7" spans="1:8" x14ac:dyDescent="0.2">
      <c r="B7" s="7" t="s">
        <v>5</v>
      </c>
      <c r="C7" s="7"/>
      <c r="D7" s="7"/>
      <c r="E7" s="7"/>
      <c r="F7" s="7"/>
      <c r="G7" s="1"/>
      <c r="H7" s="1"/>
    </row>
    <row r="8" spans="1:8" x14ac:dyDescent="0.2">
      <c r="B8" s="7"/>
      <c r="C8" s="7"/>
      <c r="D8" s="7"/>
      <c r="E8" s="7"/>
      <c r="F8" s="7"/>
      <c r="G8" s="1"/>
      <c r="H8" s="1"/>
    </row>
    <row r="9" spans="1:8" x14ac:dyDescent="0.2">
      <c r="A9" s="6" t="s">
        <v>6</v>
      </c>
      <c r="B9" s="6"/>
      <c r="C9" s="6"/>
      <c r="D9" s="6"/>
      <c r="E9" s="2"/>
      <c r="F9" s="2"/>
      <c r="G9" s="1"/>
      <c r="H9" s="1"/>
    </row>
    <row r="10" spans="1:8" x14ac:dyDescent="0.2">
      <c r="B10" s="7"/>
      <c r="C10" s="7"/>
      <c r="D10" s="7"/>
      <c r="E10" s="7"/>
      <c r="F10" s="7"/>
      <c r="G10" s="1"/>
      <c r="H10" s="1"/>
    </row>
    <row r="11" spans="1:8" x14ac:dyDescent="0.2">
      <c r="A11" s="10" t="s">
        <v>8</v>
      </c>
      <c r="B11" s="10"/>
      <c r="C11" s="2"/>
      <c r="D11" s="10" t="s">
        <v>9</v>
      </c>
      <c r="E11" s="10"/>
      <c r="F11" s="2"/>
      <c r="G11" s="25" t="s">
        <v>10</v>
      </c>
      <c r="H11" s="25"/>
    </row>
    <row r="12" spans="1:8" x14ac:dyDescent="0.2">
      <c r="B12" s="12" t="s">
        <v>11</v>
      </c>
      <c r="C12" s="13"/>
      <c r="D12" s="14"/>
      <c r="E12" s="12" t="s">
        <v>12</v>
      </c>
      <c r="F12" s="13"/>
      <c r="G12" s="14"/>
      <c r="H12" s="1"/>
    </row>
    <row r="13" spans="1:8" x14ac:dyDescent="0.2">
      <c r="B13" s="15"/>
      <c r="C13" s="16"/>
      <c r="D13" s="17"/>
      <c r="E13" s="15"/>
      <c r="F13" s="16"/>
      <c r="G13" s="17"/>
      <c r="H13" s="1"/>
    </row>
    <row r="14" spans="1:8" x14ac:dyDescent="0.2">
      <c r="A14" s="10" t="s">
        <v>13</v>
      </c>
      <c r="B14" s="10"/>
      <c r="C14" s="2"/>
      <c r="D14" s="10" t="s">
        <v>18</v>
      </c>
      <c r="E14" s="10"/>
      <c r="F14" s="2"/>
      <c r="G14" s="25" t="s">
        <v>23</v>
      </c>
      <c r="H14" s="25"/>
    </row>
    <row r="15" spans="1:8" x14ac:dyDescent="0.2">
      <c r="A15" s="10" t="s">
        <v>14</v>
      </c>
      <c r="B15" s="10"/>
      <c r="C15" s="2"/>
      <c r="D15" s="10" t="s">
        <v>19</v>
      </c>
      <c r="E15" s="10"/>
      <c r="F15" s="2"/>
      <c r="G15" s="25"/>
      <c r="H15" s="25"/>
    </row>
    <row r="16" spans="1:8" x14ac:dyDescent="0.2">
      <c r="A16" s="10" t="s">
        <v>16</v>
      </c>
      <c r="B16" s="10"/>
      <c r="C16" s="2"/>
      <c r="D16" s="10" t="s">
        <v>20</v>
      </c>
      <c r="E16" s="10"/>
      <c r="F16" s="2"/>
      <c r="G16" s="25"/>
      <c r="H16" s="25"/>
    </row>
    <row r="17" spans="1:8" x14ac:dyDescent="0.2">
      <c r="A17" s="10" t="s">
        <v>15</v>
      </c>
      <c r="B17" s="10"/>
      <c r="C17" s="2"/>
      <c r="D17" s="10" t="s">
        <v>21</v>
      </c>
      <c r="E17" s="10"/>
      <c r="F17" s="2"/>
      <c r="G17" s="25"/>
      <c r="H17" s="25"/>
    </row>
    <row r="18" spans="1:8" x14ac:dyDescent="0.2">
      <c r="A18" s="10" t="s">
        <v>17</v>
      </c>
      <c r="B18" s="10"/>
      <c r="C18" s="2"/>
      <c r="D18" s="10" t="s">
        <v>22</v>
      </c>
      <c r="E18" s="10"/>
      <c r="F18" s="2"/>
      <c r="G18" s="25"/>
      <c r="H18" s="25"/>
    </row>
    <row r="19" spans="1:8" x14ac:dyDescent="0.2">
      <c r="B19" s="7"/>
      <c r="C19" s="7"/>
      <c r="D19" s="7"/>
      <c r="E19" s="7"/>
      <c r="F19" s="7"/>
      <c r="G19" s="1"/>
      <c r="H19" s="1"/>
    </row>
    <row r="20" spans="1:8" x14ac:dyDescent="0.2">
      <c r="B20" s="7" t="s">
        <v>24</v>
      </c>
      <c r="C20" s="7"/>
      <c r="D20" s="7"/>
      <c r="E20" s="7"/>
      <c r="F20" s="7"/>
      <c r="G20" s="1"/>
      <c r="H20" s="1"/>
    </row>
    <row r="21" spans="1:8" x14ac:dyDescent="0.2">
      <c r="A21" t="s">
        <v>7</v>
      </c>
      <c r="B21" s="7" t="s">
        <v>111</v>
      </c>
      <c r="C21" s="7"/>
      <c r="D21" s="7"/>
      <c r="E21" s="7"/>
      <c r="F21" s="7"/>
      <c r="G21" s="1"/>
      <c r="H21" s="1"/>
    </row>
    <row r="22" spans="1:8" x14ac:dyDescent="0.2">
      <c r="B22" s="7" t="s">
        <v>3</v>
      </c>
      <c r="C22" s="7"/>
      <c r="D22" s="7"/>
      <c r="E22" s="7"/>
      <c r="F22" s="7"/>
      <c r="G22" s="1">
        <v>2250</v>
      </c>
      <c r="H22" s="1"/>
    </row>
    <row r="23" spans="1:8" x14ac:dyDescent="0.2">
      <c r="B23" s="8" t="s">
        <v>25</v>
      </c>
      <c r="C23" s="8"/>
      <c r="D23" s="8"/>
      <c r="E23" s="8"/>
      <c r="F23" s="8"/>
      <c r="G23" s="1"/>
      <c r="H23" s="1">
        <v>2250</v>
      </c>
    </row>
    <row r="24" spans="1:8" x14ac:dyDescent="0.2">
      <c r="B24" s="7" t="s">
        <v>27</v>
      </c>
      <c r="C24" s="7"/>
      <c r="D24" s="7"/>
      <c r="E24" s="7"/>
      <c r="F24" s="7"/>
      <c r="G24" s="1"/>
      <c r="H24" s="1"/>
    </row>
    <row r="25" spans="1:8" x14ac:dyDescent="0.2">
      <c r="B25" s="7" t="s">
        <v>26</v>
      </c>
      <c r="C25" s="7"/>
      <c r="D25" s="7"/>
      <c r="E25" s="7"/>
      <c r="F25" s="7"/>
      <c r="G25" s="1"/>
      <c r="H25" s="1"/>
    </row>
    <row r="26" spans="1:8" x14ac:dyDescent="0.2">
      <c r="B26" s="7" t="s">
        <v>112</v>
      </c>
      <c r="C26" s="7"/>
      <c r="D26" s="7"/>
      <c r="E26" s="7"/>
      <c r="F26" s="7"/>
      <c r="G26" s="1"/>
      <c r="H26" s="1"/>
    </row>
    <row r="27" spans="1:8" x14ac:dyDescent="0.2">
      <c r="B27" s="7"/>
      <c r="C27" s="7"/>
      <c r="D27" s="7"/>
      <c r="E27" s="7"/>
      <c r="F27" s="7"/>
      <c r="G27" s="1"/>
      <c r="H27" s="1"/>
    </row>
    <row r="28" spans="1:8" x14ac:dyDescent="0.2">
      <c r="A28" t="s">
        <v>28</v>
      </c>
      <c r="B28" s="7" t="s">
        <v>29</v>
      </c>
      <c r="C28" s="7"/>
      <c r="D28" s="7"/>
      <c r="E28" s="7"/>
      <c r="F28" s="7"/>
      <c r="G28" s="1">
        <f>6500*3</f>
        <v>19500</v>
      </c>
      <c r="H28" s="1"/>
    </row>
    <row r="29" spans="1:8" x14ac:dyDescent="0.2">
      <c r="B29" s="7" t="s">
        <v>30</v>
      </c>
      <c r="C29" s="7"/>
      <c r="D29" s="7"/>
      <c r="E29" s="7"/>
      <c r="F29" s="7"/>
      <c r="G29" s="1">
        <f>(5395+2250)*(3/5)</f>
        <v>4587</v>
      </c>
      <c r="H29" s="1"/>
    </row>
    <row r="30" spans="1:8" x14ac:dyDescent="0.2">
      <c r="B30" s="7" t="s">
        <v>31</v>
      </c>
      <c r="C30" s="7"/>
      <c r="D30" s="7"/>
      <c r="E30" s="7"/>
      <c r="F30" s="7"/>
      <c r="G30" s="1">
        <f>H31+H32-(G28+G29)</f>
        <v>1413</v>
      </c>
      <c r="H30" s="1"/>
    </row>
    <row r="31" spans="1:8" x14ac:dyDescent="0.2">
      <c r="B31" s="8" t="s">
        <v>32</v>
      </c>
      <c r="C31" s="8"/>
      <c r="D31" s="8"/>
      <c r="E31" s="8"/>
      <c r="F31" s="8"/>
      <c r="G31" s="1"/>
      <c r="H31" s="1">
        <f>5000*3</f>
        <v>15000</v>
      </c>
    </row>
    <row r="32" spans="1:8" x14ac:dyDescent="0.2">
      <c r="B32" s="8" t="s">
        <v>33</v>
      </c>
      <c r="C32" s="8"/>
      <c r="D32" s="8"/>
      <c r="E32" s="8"/>
      <c r="F32" s="8"/>
      <c r="G32" s="1"/>
      <c r="H32" s="1">
        <f>(6500*3)-(3000*3)</f>
        <v>10500</v>
      </c>
    </row>
    <row r="33" spans="1:8" x14ac:dyDescent="0.2">
      <c r="B33" s="7" t="s">
        <v>34</v>
      </c>
      <c r="C33" s="7"/>
      <c r="D33" s="7"/>
      <c r="E33" s="7"/>
      <c r="F33" s="7"/>
      <c r="G33" s="1"/>
      <c r="H33" s="1"/>
    </row>
    <row r="34" spans="1:8" x14ac:dyDescent="0.2">
      <c r="B34" s="7" t="s">
        <v>35</v>
      </c>
      <c r="C34" s="7"/>
      <c r="D34" s="7"/>
      <c r="E34" s="7"/>
      <c r="F34" s="7"/>
      <c r="G34" s="1"/>
      <c r="H34" s="1"/>
    </row>
    <row r="35" spans="1:8" x14ac:dyDescent="0.2">
      <c r="B35" s="7" t="s">
        <v>36</v>
      </c>
      <c r="C35" s="7"/>
      <c r="D35" s="7"/>
      <c r="E35" s="7"/>
      <c r="F35" s="7"/>
      <c r="G35" s="1"/>
      <c r="H35" s="1"/>
    </row>
    <row r="36" spans="1:8" x14ac:dyDescent="0.2">
      <c r="B36" s="7" t="s">
        <v>37</v>
      </c>
      <c r="C36" s="7"/>
      <c r="D36" s="7"/>
      <c r="E36" s="7"/>
      <c r="F36" s="7"/>
      <c r="G36" s="1"/>
      <c r="H36" s="1"/>
    </row>
    <row r="37" spans="1:8" x14ac:dyDescent="0.2">
      <c r="B37" s="2" t="s">
        <v>38</v>
      </c>
      <c r="C37" s="2"/>
      <c r="D37" s="2"/>
      <c r="E37" s="2"/>
      <c r="F37" s="2"/>
      <c r="G37" s="1"/>
      <c r="H37" s="1"/>
    </row>
    <row r="38" spans="1:8" x14ac:dyDescent="0.2">
      <c r="B38" s="7" t="s">
        <v>39</v>
      </c>
      <c r="C38" s="7"/>
      <c r="D38" s="7"/>
      <c r="E38" s="7"/>
      <c r="F38" s="7"/>
      <c r="G38" s="1"/>
      <c r="H38" s="1"/>
    </row>
    <row r="39" spans="1:8" x14ac:dyDescent="0.2">
      <c r="B39" s="7"/>
      <c r="C39" s="7"/>
      <c r="D39" s="7"/>
      <c r="E39" s="7"/>
      <c r="F39" s="7"/>
      <c r="G39" s="1"/>
      <c r="H39" s="1"/>
    </row>
    <row r="40" spans="1:8" x14ac:dyDescent="0.2">
      <c r="B40" s="7" t="s">
        <v>40</v>
      </c>
      <c r="C40" s="7"/>
      <c r="D40" s="7"/>
      <c r="E40" s="7"/>
      <c r="F40" s="7"/>
      <c r="G40" s="1"/>
      <c r="H40" s="1"/>
    </row>
    <row r="41" spans="1:8" x14ac:dyDescent="0.2">
      <c r="A41" t="s">
        <v>41</v>
      </c>
      <c r="B41" s="7" t="s">
        <v>3</v>
      </c>
      <c r="C41" s="7"/>
      <c r="D41" s="7"/>
      <c r="E41" s="7"/>
      <c r="F41" s="7"/>
      <c r="G41" s="1">
        <f>((5000-300)/800000)*13456*2</f>
        <v>158.108</v>
      </c>
      <c r="H41" s="1"/>
    </row>
    <row r="42" spans="1:8" x14ac:dyDescent="0.2">
      <c r="B42" s="8" t="s">
        <v>25</v>
      </c>
      <c r="C42" s="8"/>
      <c r="D42" s="8"/>
      <c r="E42" s="8"/>
      <c r="F42" s="8"/>
      <c r="G42" s="1"/>
      <c r="H42" s="1">
        <f>G41</f>
        <v>158.108</v>
      </c>
    </row>
    <row r="43" spans="1:8" x14ac:dyDescent="0.2">
      <c r="B43" s="7" t="s">
        <v>42</v>
      </c>
      <c r="C43" s="7"/>
      <c r="D43" s="7"/>
      <c r="E43" s="7"/>
      <c r="F43" s="7"/>
      <c r="G43" s="1"/>
      <c r="H43" s="1"/>
    </row>
    <row r="44" spans="1:8" x14ac:dyDescent="0.2">
      <c r="B44" s="7"/>
      <c r="C44" s="7"/>
      <c r="D44" s="7"/>
      <c r="E44" s="7"/>
      <c r="F44" s="7"/>
      <c r="G44" s="1"/>
      <c r="H44" s="1"/>
    </row>
    <row r="45" spans="1:8" x14ac:dyDescent="0.2">
      <c r="A45" t="s">
        <v>43</v>
      </c>
      <c r="B45" s="7" t="s">
        <v>3</v>
      </c>
      <c r="C45" s="7"/>
      <c r="D45" s="7"/>
      <c r="E45" s="7"/>
      <c r="F45" s="7"/>
      <c r="G45" s="1">
        <f>(6500/1000000)*15271*3</f>
        <v>297.78449999999998</v>
      </c>
      <c r="H45" s="1"/>
    </row>
    <row r="46" spans="1:8" x14ac:dyDescent="0.2">
      <c r="B46" s="8" t="s">
        <v>44</v>
      </c>
      <c r="C46" s="8"/>
      <c r="D46" s="8"/>
      <c r="E46" s="8"/>
      <c r="F46" s="8"/>
      <c r="G46" s="1"/>
      <c r="H46" s="1">
        <f>G45</f>
        <v>297.78449999999998</v>
      </c>
    </row>
    <row r="47" spans="1:8" x14ac:dyDescent="0.2">
      <c r="B47" s="7" t="s">
        <v>45</v>
      </c>
      <c r="C47" s="7"/>
      <c r="D47" s="7"/>
      <c r="E47" s="7"/>
      <c r="F47" s="7"/>
      <c r="G47" s="1"/>
      <c r="H47" s="1"/>
    </row>
    <row r="48" spans="1:8" x14ac:dyDescent="0.2">
      <c r="B48" s="7"/>
      <c r="C48" s="7"/>
      <c r="D48" s="7"/>
      <c r="E48" s="7"/>
      <c r="F48" s="7"/>
      <c r="G48" s="1"/>
      <c r="H48" s="1"/>
    </row>
    <row r="49" spans="1:8" x14ac:dyDescent="0.2">
      <c r="A49" s="27" t="s">
        <v>46</v>
      </c>
      <c r="B49" s="27"/>
      <c r="C49" s="27"/>
      <c r="D49" s="27"/>
      <c r="E49" s="2"/>
      <c r="F49" s="2"/>
      <c r="G49" s="1"/>
      <c r="H49" s="1"/>
    </row>
    <row r="50" spans="1:8" x14ac:dyDescent="0.2">
      <c r="B50" s="7"/>
      <c r="C50" s="7"/>
      <c r="D50" s="7"/>
      <c r="E50" s="7"/>
      <c r="F50" s="7"/>
      <c r="G50" s="1"/>
      <c r="H50" s="1"/>
    </row>
    <row r="51" spans="1:8" x14ac:dyDescent="0.2">
      <c r="A51" s="11" t="s">
        <v>8</v>
      </c>
      <c r="B51" s="11"/>
      <c r="C51" s="3"/>
      <c r="D51" s="11" t="s">
        <v>55</v>
      </c>
      <c r="E51" s="11"/>
      <c r="F51" s="3"/>
      <c r="G51" s="9" t="s">
        <v>47</v>
      </c>
      <c r="H51" s="9"/>
    </row>
    <row r="52" spans="1:8" x14ac:dyDescent="0.2">
      <c r="A52" s="3"/>
      <c r="B52" s="22" t="s">
        <v>11</v>
      </c>
      <c r="C52" s="23"/>
      <c r="D52" s="24"/>
      <c r="E52" s="26" t="s">
        <v>12</v>
      </c>
      <c r="F52" s="23"/>
      <c r="G52" s="24"/>
      <c r="H52" s="4"/>
    </row>
    <row r="53" spans="1:8" x14ac:dyDescent="0.2">
      <c r="A53" s="3"/>
      <c r="B53" s="18"/>
      <c r="C53" s="19"/>
      <c r="D53" s="20"/>
      <c r="E53" s="21"/>
      <c r="F53" s="19"/>
      <c r="G53" s="20"/>
      <c r="H53" s="4"/>
    </row>
    <row r="54" spans="1:8" x14ac:dyDescent="0.2">
      <c r="A54" s="11" t="s">
        <v>49</v>
      </c>
      <c r="B54" s="11"/>
      <c r="C54" s="3"/>
      <c r="D54" s="11" t="s">
        <v>54</v>
      </c>
      <c r="E54" s="11"/>
      <c r="F54" s="3"/>
      <c r="G54" s="9" t="s">
        <v>48</v>
      </c>
      <c r="H54" s="9"/>
    </row>
    <row r="55" spans="1:8" x14ac:dyDescent="0.2">
      <c r="A55" s="11" t="s">
        <v>50</v>
      </c>
      <c r="B55" s="11"/>
      <c r="C55" s="3"/>
      <c r="D55" s="11"/>
      <c r="E55" s="11"/>
      <c r="F55" s="3"/>
      <c r="G55" s="9"/>
      <c r="H55" s="9"/>
    </row>
    <row r="56" spans="1:8" x14ac:dyDescent="0.2">
      <c r="A56" s="11" t="s">
        <v>51</v>
      </c>
      <c r="B56" s="11"/>
      <c r="C56" s="3"/>
      <c r="D56" s="11"/>
      <c r="E56" s="11"/>
      <c r="F56" s="3"/>
      <c r="G56" s="9"/>
      <c r="H56" s="9"/>
    </row>
    <row r="57" spans="1:8" x14ac:dyDescent="0.2">
      <c r="A57" s="11" t="s">
        <v>52</v>
      </c>
      <c r="B57" s="11"/>
      <c r="C57" s="3"/>
      <c r="D57" s="11"/>
      <c r="E57" s="11"/>
      <c r="F57" s="3"/>
      <c r="G57" s="9"/>
      <c r="H57" s="9"/>
    </row>
    <row r="58" spans="1:8" x14ac:dyDescent="0.2">
      <c r="A58" s="11" t="s">
        <v>53</v>
      </c>
      <c r="B58" s="11"/>
      <c r="C58" s="3"/>
      <c r="D58" s="11"/>
      <c r="E58" s="11"/>
      <c r="F58" s="3"/>
      <c r="G58" s="9"/>
      <c r="H58" s="9"/>
    </row>
    <row r="59" spans="1:8" x14ac:dyDescent="0.2">
      <c r="B59" s="7"/>
      <c r="C59" s="7"/>
      <c r="D59" s="7"/>
      <c r="E59" s="7"/>
      <c r="F59" s="7"/>
      <c r="G59" s="1"/>
      <c r="H59" s="1"/>
    </row>
    <row r="60" spans="1:8" x14ac:dyDescent="0.2">
      <c r="B60" s="7" t="s">
        <v>56</v>
      </c>
      <c r="C60" s="7"/>
      <c r="D60" s="7"/>
      <c r="E60" s="7"/>
      <c r="F60" s="7"/>
      <c r="G60" s="1"/>
      <c r="H60" s="1"/>
    </row>
    <row r="61" spans="1:8" x14ac:dyDescent="0.2">
      <c r="A61" t="s">
        <v>57</v>
      </c>
      <c r="B61" s="7" t="s">
        <v>58</v>
      </c>
      <c r="C61" s="7"/>
      <c r="D61" s="7"/>
      <c r="E61" s="7"/>
      <c r="F61" s="7"/>
      <c r="G61" s="1">
        <v>400</v>
      </c>
      <c r="H61" s="1"/>
    </row>
    <row r="62" spans="1:8" x14ac:dyDescent="0.2">
      <c r="B62" s="8" t="s">
        <v>33</v>
      </c>
      <c r="C62" s="8"/>
      <c r="D62" s="8"/>
      <c r="E62" s="8"/>
      <c r="F62" s="8"/>
      <c r="G62" s="1"/>
      <c r="H62" s="1">
        <f>G61</f>
        <v>400</v>
      </c>
    </row>
    <row r="63" spans="1:8" x14ac:dyDescent="0.2">
      <c r="B63" s="7"/>
      <c r="C63" s="7"/>
      <c r="D63" s="7"/>
      <c r="E63" s="7"/>
      <c r="F63" s="7"/>
      <c r="G63" s="1"/>
      <c r="H63" s="1"/>
    </row>
    <row r="64" spans="1:8" x14ac:dyDescent="0.2">
      <c r="B64" s="7" t="s">
        <v>40</v>
      </c>
      <c r="C64" s="7"/>
      <c r="D64" s="7"/>
      <c r="E64" s="7"/>
      <c r="F64" s="7"/>
      <c r="G64" s="1"/>
      <c r="H64" s="1"/>
    </row>
    <row r="65" spans="1:8" x14ac:dyDescent="0.2">
      <c r="A65" t="s">
        <v>59</v>
      </c>
      <c r="B65" s="7" t="s">
        <v>3</v>
      </c>
      <c r="C65" s="7"/>
      <c r="D65" s="7"/>
      <c r="E65" s="7"/>
      <c r="F65" s="7"/>
      <c r="G65" s="1">
        <f>(11500-750)/5*(12/12)</f>
        <v>2150</v>
      </c>
      <c r="H65" s="1"/>
    </row>
    <row r="66" spans="1:8" x14ac:dyDescent="0.2">
      <c r="B66" s="8" t="s">
        <v>60</v>
      </c>
      <c r="C66" s="8"/>
      <c r="D66" s="8"/>
      <c r="E66" s="8"/>
      <c r="F66" s="8"/>
      <c r="G66" s="1"/>
      <c r="H66" s="1">
        <f>G65</f>
        <v>2150</v>
      </c>
    </row>
    <row r="67" spans="1:8" x14ac:dyDescent="0.2">
      <c r="B67" s="7" t="s">
        <v>110</v>
      </c>
      <c r="C67" s="7"/>
      <c r="D67" s="7"/>
      <c r="E67" s="7"/>
      <c r="F67" s="7"/>
      <c r="G67" s="1"/>
      <c r="H67" s="1"/>
    </row>
    <row r="68" spans="1:8" x14ac:dyDescent="0.2">
      <c r="B68" s="7"/>
      <c r="C68" s="7"/>
      <c r="D68" s="7"/>
      <c r="E68" s="7"/>
      <c r="F68" s="7"/>
      <c r="G68" s="1"/>
      <c r="H68" s="1"/>
    </row>
    <row r="69" spans="1:8" x14ac:dyDescent="0.2">
      <c r="A69" s="27" t="s">
        <v>61</v>
      </c>
      <c r="B69" s="27"/>
      <c r="C69" s="27"/>
      <c r="D69" s="27"/>
      <c r="E69" s="2"/>
      <c r="F69" s="2"/>
      <c r="G69" s="1"/>
      <c r="H69" s="1"/>
    </row>
    <row r="70" spans="1:8" x14ac:dyDescent="0.2">
      <c r="B70" s="7"/>
      <c r="C70" s="7"/>
      <c r="D70" s="7"/>
      <c r="E70" s="7"/>
      <c r="F70" s="7"/>
      <c r="G70" s="1"/>
      <c r="H70" s="1"/>
    </row>
    <row r="71" spans="1:8" x14ac:dyDescent="0.2">
      <c r="A71" s="11" t="s">
        <v>8</v>
      </c>
      <c r="B71" s="11"/>
      <c r="C71" s="3"/>
      <c r="D71" s="11"/>
      <c r="E71" s="11"/>
      <c r="F71" s="3"/>
      <c r="G71" s="9" t="s">
        <v>47</v>
      </c>
      <c r="H71" s="9"/>
    </row>
    <row r="72" spans="1:8" x14ac:dyDescent="0.2">
      <c r="A72" s="3"/>
      <c r="B72" s="22" t="s">
        <v>66</v>
      </c>
      <c r="C72" s="23"/>
      <c r="D72" s="23"/>
      <c r="E72" s="23"/>
      <c r="F72" s="23"/>
      <c r="G72" s="24"/>
      <c r="H72" s="4"/>
    </row>
    <row r="73" spans="1:8" x14ac:dyDescent="0.2">
      <c r="A73" s="3"/>
      <c r="B73" s="18"/>
      <c r="C73" s="19"/>
      <c r="D73" s="19"/>
      <c r="E73" s="19"/>
      <c r="F73" s="19"/>
      <c r="G73" s="20"/>
      <c r="H73" s="4"/>
    </row>
    <row r="74" spans="1:8" x14ac:dyDescent="0.2">
      <c r="A74" s="11" t="s">
        <v>62</v>
      </c>
      <c r="B74" s="11"/>
      <c r="C74" s="3"/>
      <c r="D74" s="11"/>
      <c r="E74" s="11"/>
      <c r="F74" s="3"/>
      <c r="G74" s="9" t="s">
        <v>23</v>
      </c>
      <c r="H74" s="9"/>
    </row>
    <row r="75" spans="1:8" x14ac:dyDescent="0.2">
      <c r="A75" s="11" t="s">
        <v>63</v>
      </c>
      <c r="B75" s="11"/>
      <c r="C75" s="3"/>
      <c r="D75" s="11"/>
      <c r="E75" s="11"/>
      <c r="F75" s="3"/>
      <c r="G75" s="9" t="s">
        <v>67</v>
      </c>
      <c r="H75" s="9"/>
    </row>
    <row r="76" spans="1:8" x14ac:dyDescent="0.2">
      <c r="A76" s="11" t="s">
        <v>64</v>
      </c>
      <c r="B76" s="11"/>
      <c r="C76" s="3"/>
      <c r="D76" s="11"/>
      <c r="E76" s="11"/>
      <c r="F76" s="3"/>
      <c r="G76" s="9" t="s">
        <v>68</v>
      </c>
      <c r="H76" s="9"/>
    </row>
    <row r="77" spans="1:8" x14ac:dyDescent="0.2">
      <c r="A77" s="11" t="s">
        <v>65</v>
      </c>
      <c r="B77" s="11"/>
      <c r="C77" s="3"/>
      <c r="D77" s="11"/>
      <c r="E77" s="11"/>
      <c r="F77" s="3"/>
      <c r="G77" s="9"/>
      <c r="H77" s="9"/>
    </row>
    <row r="78" spans="1:8" x14ac:dyDescent="0.2">
      <c r="B78" s="7"/>
      <c r="C78" s="7"/>
      <c r="D78" s="7"/>
      <c r="E78" s="7"/>
      <c r="F78" s="7"/>
      <c r="G78" s="1"/>
      <c r="H78" s="1"/>
    </row>
    <row r="79" spans="1:8" x14ac:dyDescent="0.2">
      <c r="B79" s="7" t="s">
        <v>40</v>
      </c>
      <c r="C79" s="7"/>
      <c r="D79" s="7"/>
      <c r="E79" s="7"/>
      <c r="F79" s="7"/>
      <c r="G79" s="1"/>
      <c r="H79" s="1"/>
    </row>
    <row r="80" spans="1:8" x14ac:dyDescent="0.2">
      <c r="A80" t="s">
        <v>69</v>
      </c>
      <c r="B80" s="7" t="s">
        <v>3</v>
      </c>
      <c r="C80" s="7"/>
      <c r="D80" s="7"/>
      <c r="E80" s="7"/>
      <c r="F80" s="7"/>
      <c r="G80" s="1">
        <f>(21000-10286)*(2/7)</f>
        <v>3061.1428571428569</v>
      </c>
      <c r="H80" s="1"/>
    </row>
    <row r="81" spans="1:8" x14ac:dyDescent="0.2">
      <c r="B81" s="8" t="s">
        <v>70</v>
      </c>
      <c r="C81" s="8"/>
      <c r="D81" s="8"/>
      <c r="E81" s="8"/>
      <c r="F81" s="8"/>
      <c r="G81" s="1"/>
      <c r="H81" s="1">
        <f>G80</f>
        <v>3061.1428571428569</v>
      </c>
    </row>
    <row r="82" spans="1:8" x14ac:dyDescent="0.2">
      <c r="B82" s="7" t="s">
        <v>71</v>
      </c>
      <c r="C82" s="7"/>
      <c r="D82" s="7"/>
      <c r="E82" s="7"/>
      <c r="F82" s="7"/>
      <c r="G82" s="1"/>
      <c r="H82" s="1"/>
    </row>
    <row r="83" spans="1:8" x14ac:dyDescent="0.2">
      <c r="B83" s="7" t="s">
        <v>72</v>
      </c>
      <c r="C83" s="7"/>
      <c r="D83" s="7"/>
      <c r="E83" s="7"/>
      <c r="F83" s="7"/>
      <c r="G83" s="1"/>
      <c r="H83" s="1"/>
    </row>
    <row r="84" spans="1:8" x14ac:dyDescent="0.2">
      <c r="B84" s="7" t="s">
        <v>73</v>
      </c>
      <c r="C84" s="7"/>
      <c r="D84" s="7"/>
      <c r="E84" s="7"/>
      <c r="F84" s="7"/>
      <c r="G84" s="1"/>
      <c r="H84" s="1"/>
    </row>
    <row r="85" spans="1:8" x14ac:dyDescent="0.2">
      <c r="B85" s="7"/>
      <c r="C85" s="7"/>
      <c r="D85" s="7"/>
      <c r="E85" s="7"/>
      <c r="F85" s="7"/>
      <c r="G85" s="1"/>
      <c r="H85" s="1"/>
    </row>
    <row r="86" spans="1:8" x14ac:dyDescent="0.2">
      <c r="B86" s="7"/>
      <c r="C86" s="7"/>
      <c r="D86" s="7"/>
      <c r="E86" s="7"/>
      <c r="F86" s="7"/>
    </row>
    <row r="87" spans="1:8" x14ac:dyDescent="0.2">
      <c r="A87" t="s">
        <v>74</v>
      </c>
      <c r="B87" s="7" t="s">
        <v>75</v>
      </c>
      <c r="C87" s="7"/>
      <c r="D87" s="7"/>
      <c r="E87" s="7"/>
      <c r="F87" s="7"/>
      <c r="G87" s="1">
        <f>7653-5000</f>
        <v>2653</v>
      </c>
      <c r="H87" s="1"/>
    </row>
    <row r="88" spans="1:8" x14ac:dyDescent="0.2">
      <c r="B88" s="8" t="s">
        <v>70</v>
      </c>
      <c r="C88" s="8"/>
      <c r="D88" s="8"/>
      <c r="E88" s="8"/>
      <c r="F88" s="8"/>
      <c r="G88" s="1"/>
      <c r="H88" s="1">
        <f>G87</f>
        <v>2653</v>
      </c>
    </row>
    <row r="89" spans="1:8" x14ac:dyDescent="0.2">
      <c r="B89" s="7" t="s">
        <v>76</v>
      </c>
      <c r="C89" s="7"/>
      <c r="D89" s="7"/>
      <c r="E89" s="7"/>
      <c r="F89" s="7"/>
      <c r="G89" s="1"/>
      <c r="H89" s="1"/>
    </row>
    <row r="90" spans="1:8" x14ac:dyDescent="0.2">
      <c r="B90" s="7" t="s">
        <v>77</v>
      </c>
      <c r="C90" s="7"/>
      <c r="D90" s="7"/>
      <c r="E90" s="7"/>
      <c r="F90" s="7"/>
      <c r="G90" s="1"/>
      <c r="H90" s="1"/>
    </row>
    <row r="91" spans="1:8" x14ac:dyDescent="0.2">
      <c r="B91" s="7" t="s">
        <v>78</v>
      </c>
      <c r="C91" s="7"/>
      <c r="D91" s="7"/>
      <c r="E91" s="7"/>
      <c r="F91" s="7"/>
      <c r="G91" s="1"/>
      <c r="H91" s="1"/>
    </row>
    <row r="92" spans="1:8" x14ac:dyDescent="0.2">
      <c r="B92" s="7"/>
      <c r="C92" s="7"/>
      <c r="D92" s="7"/>
      <c r="E92" s="7"/>
      <c r="F92" s="7"/>
      <c r="G92" s="1"/>
      <c r="H92" s="1"/>
    </row>
    <row r="93" spans="1:8" x14ac:dyDescent="0.2">
      <c r="A93" s="27" t="s">
        <v>79</v>
      </c>
      <c r="B93" s="27"/>
      <c r="C93" s="27"/>
      <c r="D93" s="27"/>
      <c r="E93" s="2"/>
      <c r="F93" s="2"/>
      <c r="G93" s="1"/>
      <c r="H93" s="1"/>
    </row>
    <row r="94" spans="1:8" x14ac:dyDescent="0.2">
      <c r="B94" s="7"/>
      <c r="C94" s="7"/>
      <c r="D94" s="7"/>
      <c r="E94" s="7"/>
      <c r="F94" s="7"/>
      <c r="G94" s="1"/>
      <c r="H94" s="1"/>
    </row>
    <row r="95" spans="1:8" x14ac:dyDescent="0.2">
      <c r="A95" s="11" t="s">
        <v>8</v>
      </c>
      <c r="B95" s="11"/>
      <c r="C95" s="11" t="s">
        <v>80</v>
      </c>
      <c r="D95" s="11"/>
      <c r="E95" s="11" t="s">
        <v>81</v>
      </c>
      <c r="F95" s="11"/>
      <c r="G95" s="9" t="s">
        <v>47</v>
      </c>
      <c r="H95" s="9"/>
    </row>
    <row r="96" spans="1:8" x14ac:dyDescent="0.2">
      <c r="A96" s="3"/>
      <c r="B96" s="22" t="s">
        <v>82</v>
      </c>
      <c r="C96" s="28"/>
      <c r="D96" s="22" t="s">
        <v>83</v>
      </c>
      <c r="E96" s="28"/>
      <c r="F96" s="22" t="s">
        <v>84</v>
      </c>
      <c r="G96" s="24"/>
      <c r="H96" s="4"/>
    </row>
    <row r="97" spans="1:8" x14ac:dyDescent="0.2">
      <c r="A97" s="3"/>
      <c r="B97" s="18"/>
      <c r="C97" s="29"/>
      <c r="D97" s="18"/>
      <c r="E97" s="29"/>
      <c r="F97" s="18"/>
      <c r="G97" s="20"/>
      <c r="H97" s="4"/>
    </row>
    <row r="98" spans="1:8" x14ac:dyDescent="0.2">
      <c r="A98" s="11" t="s">
        <v>62</v>
      </c>
      <c r="B98" s="11"/>
      <c r="C98" s="11" t="s">
        <v>85</v>
      </c>
      <c r="D98" s="11"/>
      <c r="E98" s="11" t="s">
        <v>86</v>
      </c>
      <c r="F98" s="11"/>
      <c r="G98" s="9" t="s">
        <v>23</v>
      </c>
      <c r="H98" s="9"/>
    </row>
    <row r="99" spans="1:8" x14ac:dyDescent="0.2">
      <c r="A99" s="11" t="s">
        <v>63</v>
      </c>
      <c r="B99" s="11"/>
      <c r="C99" s="30">
        <v>150</v>
      </c>
      <c r="D99" s="11"/>
      <c r="E99" s="11" t="s">
        <v>87</v>
      </c>
      <c r="F99" s="11"/>
      <c r="G99" s="9"/>
      <c r="H99" s="9"/>
    </row>
    <row r="100" spans="1:8" x14ac:dyDescent="0.2">
      <c r="A100" s="11" t="s">
        <v>64</v>
      </c>
      <c r="B100" s="11"/>
      <c r="C100" s="11"/>
      <c r="D100" s="11"/>
      <c r="E100" s="11" t="s">
        <v>88</v>
      </c>
      <c r="F100" s="11"/>
      <c r="G100" s="9"/>
      <c r="H100" s="9"/>
    </row>
    <row r="101" spans="1:8" x14ac:dyDescent="0.2">
      <c r="A101" s="11" t="s">
        <v>65</v>
      </c>
      <c r="B101" s="11"/>
      <c r="C101" s="11"/>
      <c r="D101" s="11"/>
      <c r="E101" s="11" t="s">
        <v>89</v>
      </c>
      <c r="F101" s="11"/>
      <c r="G101" s="9"/>
      <c r="H101" s="9"/>
    </row>
    <row r="102" spans="1:8" x14ac:dyDescent="0.2">
      <c r="B102" s="2"/>
      <c r="C102" s="2"/>
      <c r="D102" s="2"/>
      <c r="E102" s="11" t="s">
        <v>90</v>
      </c>
      <c r="F102" s="11"/>
      <c r="G102" s="1"/>
      <c r="H102" s="1"/>
    </row>
    <row r="103" spans="1:8" x14ac:dyDescent="0.2">
      <c r="B103" s="7"/>
      <c r="C103" s="7"/>
      <c r="D103" s="7"/>
      <c r="E103" s="7"/>
      <c r="F103" s="7"/>
      <c r="G103" s="1"/>
      <c r="H103" s="1"/>
    </row>
    <row r="104" spans="1:8" x14ac:dyDescent="0.2">
      <c r="B104" s="7" t="s">
        <v>91</v>
      </c>
      <c r="C104" s="7"/>
      <c r="D104" s="7"/>
      <c r="E104" s="7"/>
      <c r="F104" s="7"/>
      <c r="G104" s="1"/>
      <c r="H104" s="1"/>
    </row>
    <row r="105" spans="1:8" x14ac:dyDescent="0.2">
      <c r="A105" t="s">
        <v>92</v>
      </c>
      <c r="B105" s="7" t="s">
        <v>3</v>
      </c>
      <c r="C105" s="7"/>
      <c r="D105" s="7"/>
      <c r="E105" s="7"/>
      <c r="F105" s="7"/>
      <c r="G105" s="1">
        <f>((2200-100)/4)*(0.5/12)</f>
        <v>21.875</v>
      </c>
      <c r="H105" s="1"/>
    </row>
    <row r="106" spans="1:8" x14ac:dyDescent="0.2">
      <c r="B106" s="8" t="s">
        <v>93</v>
      </c>
      <c r="C106" s="8"/>
      <c r="D106" s="8"/>
      <c r="E106" s="8"/>
      <c r="F106" s="8"/>
      <c r="G106" s="1"/>
      <c r="H106" s="1">
        <f>G105</f>
        <v>21.875</v>
      </c>
    </row>
    <row r="107" spans="1:8" x14ac:dyDescent="0.2">
      <c r="B107" s="7" t="s">
        <v>94</v>
      </c>
      <c r="C107" s="7"/>
      <c r="D107" s="7"/>
      <c r="E107" s="7"/>
      <c r="F107" s="7"/>
      <c r="G107" s="1"/>
      <c r="H107" s="1"/>
    </row>
    <row r="108" spans="1:8" x14ac:dyDescent="0.2">
      <c r="B108" s="7"/>
      <c r="C108" s="7"/>
      <c r="D108" s="7"/>
      <c r="E108" s="7"/>
      <c r="F108" s="7"/>
      <c r="G108" s="1"/>
      <c r="H108" s="1"/>
    </row>
    <row r="109" spans="1:8" x14ac:dyDescent="0.2">
      <c r="A109" t="s">
        <v>95</v>
      </c>
      <c r="B109" s="7" t="s">
        <v>96</v>
      </c>
      <c r="C109" s="7"/>
      <c r="D109" s="7"/>
      <c r="E109" s="7"/>
      <c r="F109" s="7"/>
      <c r="G109" s="1">
        <f>1050+G105</f>
        <v>1071.875</v>
      </c>
      <c r="H109" s="1"/>
    </row>
    <row r="110" spans="1:8" x14ac:dyDescent="0.2">
      <c r="B110" s="7" t="s">
        <v>97</v>
      </c>
      <c r="C110" s="7"/>
      <c r="D110" s="7"/>
      <c r="E110" s="7"/>
      <c r="F110" s="7"/>
      <c r="G110" s="1">
        <f>H111+H112-G109</f>
        <v>1278.125</v>
      </c>
      <c r="H110" s="1"/>
    </row>
    <row r="111" spans="1:8" x14ac:dyDescent="0.2">
      <c r="B111" s="8" t="s">
        <v>98</v>
      </c>
      <c r="C111" s="8"/>
      <c r="D111" s="8"/>
      <c r="E111" s="8"/>
      <c r="F111" s="8"/>
      <c r="G111" s="1"/>
      <c r="H111" s="1">
        <v>2200</v>
      </c>
    </row>
    <row r="112" spans="1:8" x14ac:dyDescent="0.2">
      <c r="B112" s="8" t="s">
        <v>33</v>
      </c>
      <c r="C112" s="8"/>
      <c r="D112" s="8"/>
      <c r="E112" s="8"/>
      <c r="F112" s="8"/>
      <c r="G112" s="1"/>
      <c r="H112" s="1">
        <v>150</v>
      </c>
    </row>
    <row r="113" spans="1:8" x14ac:dyDescent="0.2">
      <c r="B113" s="7"/>
      <c r="C113" s="7"/>
      <c r="D113" s="7"/>
      <c r="E113" s="7"/>
      <c r="F113" s="7"/>
      <c r="G113" s="1"/>
      <c r="H113" s="1"/>
    </row>
    <row r="114" spans="1:8" x14ac:dyDescent="0.2">
      <c r="B114" s="7" t="s">
        <v>99</v>
      </c>
      <c r="C114" s="7"/>
      <c r="D114" s="7"/>
      <c r="E114" s="7"/>
      <c r="F114" s="7"/>
      <c r="G114" s="1"/>
      <c r="H114" s="1"/>
    </row>
    <row r="115" spans="1:8" x14ac:dyDescent="0.2">
      <c r="B115" s="7" t="s">
        <v>100</v>
      </c>
      <c r="C115" s="7"/>
      <c r="D115" s="7"/>
      <c r="E115" s="7"/>
      <c r="F115" s="7"/>
      <c r="G115" s="1"/>
      <c r="H115" s="1"/>
    </row>
    <row r="116" spans="1:8" x14ac:dyDescent="0.2">
      <c r="B116" s="7" t="s">
        <v>101</v>
      </c>
      <c r="C116" s="7"/>
      <c r="D116" s="7"/>
      <c r="E116" s="7"/>
      <c r="F116" s="7"/>
      <c r="G116" s="1"/>
      <c r="H116" s="1"/>
    </row>
    <row r="117" spans="1:8" x14ac:dyDescent="0.2">
      <c r="B117" s="7" t="s">
        <v>102</v>
      </c>
      <c r="C117" s="7"/>
      <c r="D117" s="7"/>
      <c r="E117" s="7"/>
      <c r="F117" s="7"/>
      <c r="G117" s="1"/>
      <c r="H117" s="1"/>
    </row>
    <row r="118" spans="1:8" x14ac:dyDescent="0.2">
      <c r="B118" s="7"/>
      <c r="C118" s="7"/>
      <c r="D118" s="7"/>
      <c r="E118" s="7"/>
      <c r="F118" s="7"/>
      <c r="G118" s="1"/>
      <c r="H118" s="1"/>
    </row>
    <row r="119" spans="1:8" x14ac:dyDescent="0.2">
      <c r="B119" s="7" t="s">
        <v>103</v>
      </c>
      <c r="C119" s="7"/>
      <c r="D119" s="7"/>
      <c r="E119" s="7"/>
      <c r="F119" s="7"/>
      <c r="G119" s="1"/>
      <c r="H119" s="1"/>
    </row>
    <row r="120" spans="1:8" x14ac:dyDescent="0.2">
      <c r="A120" t="s">
        <v>104</v>
      </c>
      <c r="B120" s="7" t="s">
        <v>105</v>
      </c>
      <c r="C120" s="7"/>
      <c r="D120" s="7"/>
      <c r="E120" s="7"/>
      <c r="F120" s="7"/>
      <c r="G120" s="1">
        <v>3500</v>
      </c>
      <c r="H120" s="1"/>
    </row>
    <row r="121" spans="1:8" x14ac:dyDescent="0.2">
      <c r="B121" s="8" t="s">
        <v>33</v>
      </c>
      <c r="C121" s="8"/>
      <c r="D121" s="8"/>
      <c r="E121" s="8"/>
      <c r="F121" s="8"/>
      <c r="G121" s="1"/>
      <c r="H121" s="1">
        <f>G120</f>
        <v>3500</v>
      </c>
    </row>
    <row r="122" spans="1:8" x14ac:dyDescent="0.2">
      <c r="B122" s="7"/>
      <c r="C122" s="7"/>
      <c r="D122" s="7"/>
      <c r="E122" s="7"/>
      <c r="F122" s="7"/>
      <c r="G122" s="1"/>
      <c r="H122" s="1"/>
    </row>
    <row r="123" spans="1:8" x14ac:dyDescent="0.2">
      <c r="B123" s="7" t="s">
        <v>40</v>
      </c>
      <c r="C123" s="7"/>
      <c r="D123" s="7"/>
      <c r="E123" s="7"/>
      <c r="F123" s="7"/>
      <c r="G123" s="1"/>
      <c r="H123" s="1"/>
    </row>
    <row r="124" spans="1:8" x14ac:dyDescent="0.2">
      <c r="A124" t="s">
        <v>106</v>
      </c>
      <c r="B124" s="7" t="s">
        <v>107</v>
      </c>
      <c r="C124" s="7"/>
      <c r="D124" s="7"/>
      <c r="E124" s="7"/>
      <c r="F124" s="7"/>
      <c r="G124" s="1">
        <f>3500*(3/4)*(10/12)</f>
        <v>2187.5</v>
      </c>
      <c r="H124" s="1"/>
    </row>
    <row r="125" spans="1:8" x14ac:dyDescent="0.2">
      <c r="B125" s="8" t="s">
        <v>108</v>
      </c>
      <c r="C125" s="8"/>
      <c r="D125" s="8"/>
      <c r="E125" s="8"/>
      <c r="F125" s="8"/>
      <c r="G125" s="1"/>
      <c r="H125" s="1">
        <f>G124</f>
        <v>2187.5</v>
      </c>
    </row>
    <row r="126" spans="1:8" x14ac:dyDescent="0.2">
      <c r="B126" s="7" t="s">
        <v>109</v>
      </c>
      <c r="C126" s="7"/>
      <c r="D126" s="7"/>
      <c r="E126" s="7"/>
      <c r="F126" s="7"/>
      <c r="G126" s="1"/>
      <c r="H126" s="1"/>
    </row>
    <row r="127" spans="1:8" x14ac:dyDescent="0.2">
      <c r="B127" s="7"/>
      <c r="C127" s="7"/>
      <c r="D127" s="7"/>
      <c r="E127" s="7"/>
      <c r="F127" s="7"/>
      <c r="G127" s="1"/>
      <c r="H127" s="1"/>
    </row>
    <row r="128" spans="1:8" x14ac:dyDescent="0.2">
      <c r="B128" s="7"/>
      <c r="C128" s="7"/>
      <c r="D128" s="7"/>
      <c r="E128" s="7"/>
      <c r="F128" s="7"/>
      <c r="G128" s="1"/>
      <c r="H128" s="1"/>
    </row>
    <row r="129" spans="1:8" x14ac:dyDescent="0.2">
      <c r="B129" s="7"/>
      <c r="C129" s="7"/>
      <c r="D129" s="7"/>
      <c r="E129" s="7"/>
      <c r="F129" s="7"/>
      <c r="G129" s="1"/>
      <c r="H129" s="1"/>
    </row>
    <row r="130" spans="1:8" x14ac:dyDescent="0.2">
      <c r="A130" s="27"/>
      <c r="B130" s="27"/>
      <c r="C130" s="27"/>
      <c r="D130" s="27"/>
      <c r="E130" s="2"/>
      <c r="F130" s="2"/>
      <c r="G130" s="1"/>
      <c r="H130" s="1"/>
    </row>
    <row r="131" spans="1:8" x14ac:dyDescent="0.2">
      <c r="B131" s="7"/>
      <c r="C131" s="7"/>
      <c r="D131" s="7"/>
      <c r="E131" s="7"/>
      <c r="F131" s="7"/>
      <c r="G131" s="1"/>
      <c r="H131" s="1"/>
    </row>
    <row r="132" spans="1:8" x14ac:dyDescent="0.2">
      <c r="B132" s="7"/>
      <c r="C132" s="7"/>
      <c r="D132" s="7"/>
      <c r="E132" s="7"/>
      <c r="F132" s="7"/>
      <c r="G132" s="1"/>
      <c r="H132" s="1"/>
    </row>
    <row r="133" spans="1:8" x14ac:dyDescent="0.2">
      <c r="B133" s="8"/>
      <c r="C133" s="8"/>
      <c r="D133" s="8"/>
      <c r="E133" s="8"/>
      <c r="F133" s="8"/>
      <c r="G133" s="1"/>
      <c r="H133" s="1"/>
    </row>
    <row r="134" spans="1:8" x14ac:dyDescent="0.2">
      <c r="B134" s="7"/>
      <c r="C134" s="7"/>
      <c r="D134" s="7"/>
      <c r="E134" s="7"/>
      <c r="F134" s="7"/>
      <c r="G134" s="1"/>
      <c r="H134" s="1"/>
    </row>
    <row r="135" spans="1:8" x14ac:dyDescent="0.2">
      <c r="B135" s="7"/>
      <c r="C135" s="7"/>
      <c r="D135" s="7"/>
      <c r="E135" s="7"/>
      <c r="F135" s="7"/>
      <c r="G135" s="1"/>
      <c r="H135" s="1"/>
    </row>
    <row r="136" spans="1:8" x14ac:dyDescent="0.2">
      <c r="B136" s="7"/>
      <c r="C136" s="7"/>
      <c r="D136" s="7"/>
      <c r="E136" s="7"/>
      <c r="F136" s="7"/>
      <c r="G136" s="1"/>
      <c r="H136" s="1"/>
    </row>
    <row r="137" spans="1:8" x14ac:dyDescent="0.2">
      <c r="B137" s="7"/>
      <c r="C137" s="7"/>
      <c r="D137" s="7"/>
      <c r="E137" s="7"/>
      <c r="F137" s="7"/>
      <c r="G137" s="1"/>
      <c r="H137" s="1"/>
    </row>
    <row r="138" spans="1:8" x14ac:dyDescent="0.2">
      <c r="B138" s="7"/>
      <c r="C138" s="7"/>
      <c r="D138" s="7"/>
      <c r="E138" s="7"/>
      <c r="F138" s="7"/>
      <c r="G138" s="1"/>
      <c r="H138" s="1"/>
    </row>
    <row r="139" spans="1:8" x14ac:dyDescent="0.2">
      <c r="B139" s="7"/>
      <c r="C139" s="7"/>
      <c r="D139" s="7"/>
      <c r="E139" s="7"/>
      <c r="F139" s="7"/>
      <c r="G139" s="1"/>
      <c r="H139" s="1"/>
    </row>
    <row r="140" spans="1:8" x14ac:dyDescent="0.2">
      <c r="B140" s="7"/>
      <c r="C140" s="7"/>
      <c r="D140" s="7"/>
      <c r="E140" s="7"/>
      <c r="F140" s="7"/>
      <c r="G140" s="1"/>
      <c r="H140" s="1"/>
    </row>
    <row r="141" spans="1:8" x14ac:dyDescent="0.2">
      <c r="B141" s="7"/>
      <c r="C141" s="7"/>
      <c r="D141" s="7"/>
      <c r="E141" s="7"/>
      <c r="F141" s="7"/>
      <c r="G141" s="1"/>
      <c r="H141" s="1"/>
    </row>
    <row r="142" spans="1:8" x14ac:dyDescent="0.2">
      <c r="B142" s="7"/>
      <c r="C142" s="7"/>
      <c r="D142" s="7"/>
      <c r="E142" s="7"/>
      <c r="F142" s="7"/>
      <c r="G142" s="1"/>
      <c r="H142" s="1"/>
    </row>
    <row r="143" spans="1:8" x14ac:dyDescent="0.2">
      <c r="B143" s="7"/>
      <c r="C143" s="7"/>
      <c r="D143" s="7"/>
      <c r="E143" s="7"/>
      <c r="F143" s="7"/>
      <c r="G143" s="1"/>
      <c r="H143" s="1"/>
    </row>
    <row r="144" spans="1:8" x14ac:dyDescent="0.2">
      <c r="B144" s="7"/>
      <c r="C144" s="7"/>
      <c r="D144" s="7"/>
      <c r="E144" s="7"/>
      <c r="F144" s="7"/>
      <c r="G144" s="1"/>
      <c r="H144" s="1"/>
    </row>
    <row r="145" spans="2:8" x14ac:dyDescent="0.2">
      <c r="B145" s="7"/>
      <c r="C145" s="7"/>
      <c r="D145" s="7"/>
      <c r="E145" s="7"/>
      <c r="F145" s="7"/>
      <c r="G145" s="1"/>
      <c r="H145" s="1"/>
    </row>
    <row r="146" spans="2:8" x14ac:dyDescent="0.2">
      <c r="B146" s="7"/>
      <c r="C146" s="7"/>
      <c r="D146" s="7"/>
      <c r="E146" s="7"/>
      <c r="F146" s="7"/>
      <c r="G146" s="1"/>
      <c r="H146" s="1"/>
    </row>
    <row r="147" spans="2:8" x14ac:dyDescent="0.2">
      <c r="B147" s="7"/>
      <c r="C147" s="7"/>
      <c r="D147" s="7"/>
      <c r="E147" s="7"/>
      <c r="F147" s="7"/>
      <c r="G147" s="1"/>
      <c r="H147" s="1"/>
    </row>
    <row r="148" spans="2:8" x14ac:dyDescent="0.2">
      <c r="B148" s="7"/>
      <c r="C148" s="7"/>
      <c r="D148" s="7"/>
      <c r="E148" s="7"/>
      <c r="F148" s="7"/>
      <c r="G148" s="1"/>
      <c r="H148" s="1"/>
    </row>
    <row r="149" spans="2:8" x14ac:dyDescent="0.2">
      <c r="B149" s="7"/>
      <c r="C149" s="7"/>
      <c r="D149" s="7"/>
      <c r="E149" s="7"/>
      <c r="F149" s="7"/>
      <c r="G149" s="1"/>
      <c r="H149" s="1"/>
    </row>
    <row r="150" spans="2:8" x14ac:dyDescent="0.2">
      <c r="B150" s="7"/>
      <c r="C150" s="7"/>
      <c r="D150" s="7"/>
      <c r="E150" s="7"/>
      <c r="F150" s="7"/>
      <c r="G150" s="1"/>
      <c r="H150" s="1"/>
    </row>
    <row r="151" spans="2:8" x14ac:dyDescent="0.2">
      <c r="B151" s="7"/>
      <c r="C151" s="7"/>
      <c r="D151" s="7"/>
      <c r="E151" s="7"/>
      <c r="F151" s="7"/>
      <c r="G151" s="1"/>
      <c r="H151" s="1"/>
    </row>
    <row r="152" spans="2:8" x14ac:dyDescent="0.2">
      <c r="B152" s="7"/>
      <c r="C152" s="7"/>
      <c r="D152" s="7"/>
      <c r="E152" s="7"/>
      <c r="F152" s="7"/>
      <c r="G152" s="1"/>
      <c r="H152" s="1"/>
    </row>
    <row r="153" spans="2:8" x14ac:dyDescent="0.2">
      <c r="B153" s="7"/>
      <c r="C153" s="7"/>
      <c r="D153" s="7"/>
      <c r="E153" s="7"/>
      <c r="F153" s="7"/>
      <c r="G153" s="1"/>
      <c r="H153" s="1"/>
    </row>
    <row r="154" spans="2:8" x14ac:dyDescent="0.2">
      <c r="B154" s="7"/>
      <c r="C154" s="7"/>
      <c r="D154" s="7"/>
      <c r="E154" s="7"/>
      <c r="F154" s="7"/>
      <c r="G154" s="1"/>
      <c r="H154" s="1"/>
    </row>
    <row r="155" spans="2:8" x14ac:dyDescent="0.2">
      <c r="B155" s="7"/>
      <c r="C155" s="7"/>
      <c r="D155" s="7"/>
      <c r="E155" s="7"/>
      <c r="F155" s="7"/>
      <c r="G155" s="1"/>
      <c r="H155" s="1"/>
    </row>
    <row r="156" spans="2:8" x14ac:dyDescent="0.2">
      <c r="B156" s="7"/>
      <c r="C156" s="7"/>
      <c r="D156" s="7"/>
      <c r="E156" s="7"/>
      <c r="F156" s="7"/>
      <c r="G156" s="1"/>
      <c r="H156" s="1"/>
    </row>
    <row r="157" spans="2:8" x14ac:dyDescent="0.2">
      <c r="B157" s="7"/>
      <c r="C157" s="7"/>
      <c r="D157" s="7"/>
      <c r="E157" s="7"/>
      <c r="F157" s="7"/>
      <c r="G157" s="1"/>
      <c r="H157" s="1"/>
    </row>
    <row r="158" spans="2:8" x14ac:dyDescent="0.2">
      <c r="B158" s="7"/>
      <c r="C158" s="7"/>
      <c r="D158" s="7"/>
      <c r="E158" s="7"/>
      <c r="F158" s="7"/>
      <c r="G158" s="1"/>
      <c r="H158" s="1"/>
    </row>
    <row r="159" spans="2:8" x14ac:dyDescent="0.2">
      <c r="B159" s="7"/>
      <c r="C159" s="7"/>
      <c r="D159" s="7"/>
      <c r="E159" s="7"/>
      <c r="F159" s="7"/>
      <c r="G159" s="1"/>
      <c r="H159" s="1"/>
    </row>
    <row r="160" spans="2:8" x14ac:dyDescent="0.2">
      <c r="B160" s="7"/>
      <c r="C160" s="7"/>
      <c r="D160" s="7"/>
      <c r="E160" s="7"/>
      <c r="F160" s="7"/>
      <c r="G160" s="1"/>
      <c r="H160" s="1"/>
    </row>
    <row r="161" spans="2:8" x14ac:dyDescent="0.2">
      <c r="B161" s="7"/>
      <c r="C161" s="7"/>
      <c r="D161" s="7"/>
      <c r="E161" s="7"/>
      <c r="F161" s="7"/>
      <c r="G161" s="1"/>
      <c r="H161" s="1"/>
    </row>
    <row r="162" spans="2:8" x14ac:dyDescent="0.2">
      <c r="B162" s="7"/>
      <c r="C162" s="7"/>
      <c r="D162" s="7"/>
      <c r="E162" s="7"/>
      <c r="F162" s="7"/>
      <c r="G162" s="1"/>
      <c r="H162" s="1"/>
    </row>
    <row r="163" spans="2:8" x14ac:dyDescent="0.2">
      <c r="B163" s="7"/>
      <c r="C163" s="7"/>
      <c r="D163" s="7"/>
      <c r="E163" s="7"/>
      <c r="F163" s="7"/>
      <c r="G163" s="1"/>
      <c r="H163" s="1"/>
    </row>
    <row r="164" spans="2:8" x14ac:dyDescent="0.2">
      <c r="B164" s="7"/>
      <c r="C164" s="7"/>
      <c r="D164" s="7"/>
      <c r="E164" s="7"/>
      <c r="F164" s="7"/>
      <c r="G164" s="1"/>
      <c r="H164" s="1"/>
    </row>
    <row r="165" spans="2:8" x14ac:dyDescent="0.2">
      <c r="B165" s="7"/>
      <c r="C165" s="7"/>
      <c r="D165" s="7"/>
      <c r="E165" s="7"/>
      <c r="F165" s="7"/>
      <c r="G165" s="1"/>
      <c r="H165" s="1"/>
    </row>
    <row r="166" spans="2:8" x14ac:dyDescent="0.2">
      <c r="B166" s="7"/>
      <c r="C166" s="7"/>
      <c r="D166" s="7"/>
      <c r="E166" s="7"/>
      <c r="F166" s="7"/>
      <c r="G166" s="1"/>
      <c r="H166" s="1"/>
    </row>
    <row r="167" spans="2:8" x14ac:dyDescent="0.2">
      <c r="B167" s="7"/>
      <c r="C167" s="7"/>
      <c r="D167" s="7"/>
      <c r="E167" s="7"/>
      <c r="F167" s="7"/>
      <c r="G167" s="1"/>
      <c r="H167" s="1"/>
    </row>
    <row r="168" spans="2:8" x14ac:dyDescent="0.2">
      <c r="B168" s="7"/>
      <c r="C168" s="7"/>
      <c r="D168" s="7"/>
      <c r="E168" s="7"/>
      <c r="F168" s="7"/>
      <c r="G168" s="1"/>
      <c r="H168" s="1"/>
    </row>
    <row r="169" spans="2:8" x14ac:dyDescent="0.2">
      <c r="B169" s="7"/>
      <c r="C169" s="7"/>
      <c r="D169" s="7"/>
      <c r="E169" s="7"/>
      <c r="F169" s="7"/>
      <c r="G169" s="1"/>
      <c r="H169" s="1"/>
    </row>
    <row r="170" spans="2:8" x14ac:dyDescent="0.2">
      <c r="B170" s="7"/>
      <c r="C170" s="7"/>
      <c r="D170" s="7"/>
      <c r="E170" s="7"/>
      <c r="F170" s="7"/>
      <c r="G170" s="1"/>
      <c r="H170" s="1"/>
    </row>
    <row r="171" spans="2:8" x14ac:dyDescent="0.2">
      <c r="B171" s="7"/>
      <c r="C171" s="7"/>
      <c r="D171" s="7"/>
      <c r="E171" s="7"/>
      <c r="F171" s="7"/>
      <c r="G171" s="1"/>
      <c r="H171" s="1"/>
    </row>
    <row r="172" spans="2:8" x14ac:dyDescent="0.2">
      <c r="B172" s="7"/>
      <c r="C172" s="7"/>
      <c r="D172" s="7"/>
      <c r="E172" s="7"/>
      <c r="F172" s="7"/>
      <c r="G172" s="1"/>
      <c r="H172" s="1"/>
    </row>
  </sheetData>
  <mergeCells count="227">
    <mergeCell ref="B168:F168"/>
    <mergeCell ref="B169:F169"/>
    <mergeCell ref="B170:F170"/>
    <mergeCell ref="B171:F171"/>
    <mergeCell ref="B172:F172"/>
    <mergeCell ref="A130:D130"/>
    <mergeCell ref="B162:F162"/>
    <mergeCell ref="B163:F163"/>
    <mergeCell ref="B164:F164"/>
    <mergeCell ref="B165:F165"/>
    <mergeCell ref="B166:F166"/>
    <mergeCell ref="B167:F167"/>
    <mergeCell ref="B156:F156"/>
    <mergeCell ref="B157:F157"/>
    <mergeCell ref="B158:F158"/>
    <mergeCell ref="B159:F159"/>
    <mergeCell ref="B160:F160"/>
    <mergeCell ref="B161:F161"/>
    <mergeCell ref="B150:F150"/>
    <mergeCell ref="B151:F151"/>
    <mergeCell ref="B152:F152"/>
    <mergeCell ref="B153:F153"/>
    <mergeCell ref="B154:F154"/>
    <mergeCell ref="B155:F155"/>
    <mergeCell ref="B144:F144"/>
    <mergeCell ref="B145:F145"/>
    <mergeCell ref="B146:F146"/>
    <mergeCell ref="B147:F147"/>
    <mergeCell ref="B148:F148"/>
    <mergeCell ref="B149:F149"/>
    <mergeCell ref="B138:F138"/>
    <mergeCell ref="B139:F139"/>
    <mergeCell ref="B140:F140"/>
    <mergeCell ref="B141:F141"/>
    <mergeCell ref="B142:F142"/>
    <mergeCell ref="B143:F143"/>
    <mergeCell ref="E102:F102"/>
    <mergeCell ref="B131:F131"/>
    <mergeCell ref="A101:B101"/>
    <mergeCell ref="B125:F125"/>
    <mergeCell ref="B126:F126"/>
    <mergeCell ref="B127:F127"/>
    <mergeCell ref="B128:F128"/>
    <mergeCell ref="B129:F129"/>
    <mergeCell ref="B109:F109"/>
    <mergeCell ref="B110:F110"/>
    <mergeCell ref="B111:F111"/>
    <mergeCell ref="B103:F103"/>
    <mergeCell ref="B104:F104"/>
    <mergeCell ref="B105:F105"/>
    <mergeCell ref="B106:F106"/>
    <mergeCell ref="B107:F107"/>
    <mergeCell ref="B108:F108"/>
    <mergeCell ref="B112:F112"/>
    <mergeCell ref="B113:F113"/>
    <mergeCell ref="B114:F114"/>
    <mergeCell ref="B115:F115"/>
    <mergeCell ref="B116:F116"/>
    <mergeCell ref="B117:F117"/>
    <mergeCell ref="B132:F132"/>
    <mergeCell ref="B133:F133"/>
    <mergeCell ref="B134:F134"/>
    <mergeCell ref="B135:F135"/>
    <mergeCell ref="B136:F136"/>
    <mergeCell ref="B137:F137"/>
    <mergeCell ref="B124:F124"/>
    <mergeCell ref="B118:F118"/>
    <mergeCell ref="B119:F119"/>
    <mergeCell ref="B120:F120"/>
    <mergeCell ref="B121:F121"/>
    <mergeCell ref="B122:F122"/>
    <mergeCell ref="B123:F123"/>
    <mergeCell ref="A99:B99"/>
    <mergeCell ref="G99:H99"/>
    <mergeCell ref="F96:G96"/>
    <mergeCell ref="D96:E96"/>
    <mergeCell ref="B96:C96"/>
    <mergeCell ref="C95:D95"/>
    <mergeCell ref="G101:H101"/>
    <mergeCell ref="B97:C97"/>
    <mergeCell ref="D97:E97"/>
    <mergeCell ref="F97:G97"/>
    <mergeCell ref="C98:D98"/>
    <mergeCell ref="C99:D99"/>
    <mergeCell ref="C100:D100"/>
    <mergeCell ref="C101:D101"/>
    <mergeCell ref="E99:F99"/>
    <mergeCell ref="E100:F100"/>
    <mergeCell ref="E101:F101"/>
    <mergeCell ref="A100:B100"/>
    <mergeCell ref="G100:H100"/>
    <mergeCell ref="B92:F92"/>
    <mergeCell ref="A93:D93"/>
    <mergeCell ref="A77:B77"/>
    <mergeCell ref="D77:E77"/>
    <mergeCell ref="G77:H77"/>
    <mergeCell ref="A95:B95"/>
    <mergeCell ref="G95:H95"/>
    <mergeCell ref="A98:B98"/>
    <mergeCell ref="B94:F94"/>
    <mergeCell ref="G98:H98"/>
    <mergeCell ref="E95:F95"/>
    <mergeCell ref="E98:F98"/>
    <mergeCell ref="B88:F88"/>
    <mergeCell ref="B89:F89"/>
    <mergeCell ref="B90:F90"/>
    <mergeCell ref="B91:F91"/>
    <mergeCell ref="G57:H57"/>
    <mergeCell ref="A58:B58"/>
    <mergeCell ref="D58:E58"/>
    <mergeCell ref="G58:H58"/>
    <mergeCell ref="A69:D69"/>
    <mergeCell ref="A71:B71"/>
    <mergeCell ref="D71:E71"/>
    <mergeCell ref="G71:H71"/>
    <mergeCell ref="B80:F80"/>
    <mergeCell ref="B78:F78"/>
    <mergeCell ref="B79:F79"/>
    <mergeCell ref="B73:D73"/>
    <mergeCell ref="E73:G73"/>
    <mergeCell ref="A74:B74"/>
    <mergeCell ref="B63:F63"/>
    <mergeCell ref="B64:F64"/>
    <mergeCell ref="B70:F70"/>
    <mergeCell ref="D74:E74"/>
    <mergeCell ref="G74:H74"/>
    <mergeCell ref="A75:B75"/>
    <mergeCell ref="D75:E75"/>
    <mergeCell ref="G75:H75"/>
    <mergeCell ref="A76:B76"/>
    <mergeCell ref="D76:E76"/>
    <mergeCell ref="A55:B55"/>
    <mergeCell ref="D55:E55"/>
    <mergeCell ref="G55:H55"/>
    <mergeCell ref="A56:B56"/>
    <mergeCell ref="D56:E56"/>
    <mergeCell ref="G56:H56"/>
    <mergeCell ref="G16:H16"/>
    <mergeCell ref="G17:H17"/>
    <mergeCell ref="A18:B18"/>
    <mergeCell ref="D18:E18"/>
    <mergeCell ref="G18:H18"/>
    <mergeCell ref="A51:B51"/>
    <mergeCell ref="D51:E51"/>
    <mergeCell ref="B52:D52"/>
    <mergeCell ref="E52:G52"/>
    <mergeCell ref="B45:F45"/>
    <mergeCell ref="B46:F46"/>
    <mergeCell ref="B47:F47"/>
    <mergeCell ref="B48:F48"/>
    <mergeCell ref="B50:F50"/>
    <mergeCell ref="A49:D49"/>
    <mergeCell ref="B39:F39"/>
    <mergeCell ref="B40:F40"/>
    <mergeCell ref="E13:G13"/>
    <mergeCell ref="A11:B11"/>
    <mergeCell ref="D11:E11"/>
    <mergeCell ref="G11:H11"/>
    <mergeCell ref="A14:B14"/>
    <mergeCell ref="A15:B15"/>
    <mergeCell ref="D14:E14"/>
    <mergeCell ref="D15:E15"/>
    <mergeCell ref="G14:H14"/>
    <mergeCell ref="G15:H15"/>
    <mergeCell ref="G76:H76"/>
    <mergeCell ref="B72:G72"/>
    <mergeCell ref="B86:F86"/>
    <mergeCell ref="B87:F87"/>
    <mergeCell ref="B81:F81"/>
    <mergeCell ref="B82:F82"/>
    <mergeCell ref="B83:F83"/>
    <mergeCell ref="B84:F84"/>
    <mergeCell ref="B85:F85"/>
    <mergeCell ref="B65:F65"/>
    <mergeCell ref="B66:F66"/>
    <mergeCell ref="B67:F67"/>
    <mergeCell ref="B68:F68"/>
    <mergeCell ref="B59:F59"/>
    <mergeCell ref="B60:F60"/>
    <mergeCell ref="B61:F61"/>
    <mergeCell ref="B62:F62"/>
    <mergeCell ref="A57:B57"/>
    <mergeCell ref="D57:E57"/>
    <mergeCell ref="B32:F32"/>
    <mergeCell ref="B53:D53"/>
    <mergeCell ref="E53:G53"/>
    <mergeCell ref="B20:F20"/>
    <mergeCell ref="B22:F22"/>
    <mergeCell ref="B23:F23"/>
    <mergeCell ref="B24:F24"/>
    <mergeCell ref="B25:F25"/>
    <mergeCell ref="B27:F27"/>
    <mergeCell ref="B41:F41"/>
    <mergeCell ref="B42:F42"/>
    <mergeCell ref="B43:F43"/>
    <mergeCell ref="B44:F44"/>
    <mergeCell ref="B33:F33"/>
    <mergeCell ref="B34:F34"/>
    <mergeCell ref="B35:F35"/>
    <mergeCell ref="B36:F36"/>
    <mergeCell ref="B38:F38"/>
    <mergeCell ref="B21:F21"/>
    <mergeCell ref="B26:F26"/>
    <mergeCell ref="A1:H1"/>
    <mergeCell ref="A3:D3"/>
    <mergeCell ref="B5:F5"/>
    <mergeCell ref="B6:F6"/>
    <mergeCell ref="B7:F7"/>
    <mergeCell ref="G54:H54"/>
    <mergeCell ref="B19:F19"/>
    <mergeCell ref="A16:B16"/>
    <mergeCell ref="A17:B17"/>
    <mergeCell ref="D16:E16"/>
    <mergeCell ref="D17:E17"/>
    <mergeCell ref="A54:B54"/>
    <mergeCell ref="D54:E54"/>
    <mergeCell ref="B8:F8"/>
    <mergeCell ref="B10:F10"/>
    <mergeCell ref="A9:D9"/>
    <mergeCell ref="B12:D12"/>
    <mergeCell ref="B13:D13"/>
    <mergeCell ref="E12:G12"/>
    <mergeCell ref="G51:H51"/>
    <mergeCell ref="B28:F28"/>
    <mergeCell ref="B29:F29"/>
    <mergeCell ref="B30:F30"/>
    <mergeCell ref="B31:F31"/>
  </mergeCells>
  <phoneticPr fontId="2" type="noConversion"/>
  <pageMargins left="0.75" right="0.75" top="1" bottom="1" header="0.5" footer="0.5"/>
  <pageSetup orientation="portrait" horizontalDpi="4294967292" verticalDpi="4294967292" r:id="rId1"/>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Paige Bond</dc:creator>
  <cp:lastModifiedBy>Microsoft Office User</cp:lastModifiedBy>
  <dcterms:created xsi:type="dcterms:W3CDTF">2013-09-16T18:42:53Z</dcterms:created>
  <dcterms:modified xsi:type="dcterms:W3CDTF">2020-10-06T16:56:40Z</dcterms:modified>
</cp:coreProperties>
</file>
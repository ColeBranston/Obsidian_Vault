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ackpeplinski/Desktop/SOP/BUS_2257/"/>
    </mc:Choice>
  </mc:AlternateContent>
  <xr:revisionPtr revIDLastSave="0" documentId="13_ncr:1_{91C19EC7-70E3-E049-BF7C-838446381279}" xr6:coauthVersionLast="45" xr6:coauthVersionMax="45" xr10:uidLastSave="{00000000-0000-0000-0000-000000000000}"/>
  <bookViews>
    <workbookView xWindow="-21740" yWindow="-21600" windowWidth="38400" windowHeight="20980" activeTab="1" xr2:uid="{00000000-000D-0000-FFFF-FFFF00000000}"/>
  </bookViews>
  <sheets>
    <sheet name="General Ledger" sheetId="1" r:id="rId1"/>
    <sheet name="T-Accounts" sheetId="2" r:id="rId2"/>
    <sheet name="Adjusting &amp; Closing Entries" sheetId="3" r:id="rId3"/>
    <sheet name="Trial Balance" sheetId="6" r:id="rId4"/>
    <sheet name="Income Statement" sheetId="4" r:id="rId5"/>
    <sheet name="Balance Sheet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31" i="2" l="1"/>
  <c r="B14" i="2"/>
  <c r="C12" i="5" l="1"/>
  <c r="C8" i="6"/>
  <c r="D10" i="2"/>
  <c r="D11" i="2"/>
  <c r="D12" i="2"/>
  <c r="D13" i="2"/>
  <c r="D3" i="2"/>
  <c r="D4" i="2"/>
  <c r="A3" i="2"/>
  <c r="K3" i="2"/>
  <c r="A4" i="2" s="1"/>
  <c r="H3" i="2"/>
  <c r="A5" i="2"/>
  <c r="E10" i="2"/>
  <c r="A6" i="2" s="1"/>
  <c r="H16" i="2"/>
  <c r="A7" i="2"/>
  <c r="A8" i="2"/>
  <c r="O23" i="2" s="1"/>
  <c r="A9" i="2"/>
  <c r="A10" i="2"/>
  <c r="A11" i="2"/>
  <c r="A12" i="2"/>
  <c r="B23" i="2"/>
  <c r="A13" i="2"/>
  <c r="E11" i="2"/>
  <c r="A14" i="2"/>
  <c r="K4" i="2"/>
  <c r="A15" i="2"/>
  <c r="H4" i="2"/>
  <c r="A16" i="2"/>
  <c r="E23" i="2"/>
  <c r="A17" i="2"/>
  <c r="H23" i="2"/>
  <c r="A18" i="2"/>
  <c r="B3" i="2"/>
  <c r="J3" i="2"/>
  <c r="B4" i="2"/>
  <c r="G3" i="2"/>
  <c r="B5" i="2" s="1"/>
  <c r="B6" i="2"/>
  <c r="G16" i="2"/>
  <c r="G17" i="2" s="1"/>
  <c r="B7" i="2"/>
  <c r="B8" i="2"/>
  <c r="B9" i="2"/>
  <c r="B10" i="2"/>
  <c r="B11" i="2"/>
  <c r="T23" i="2" s="1"/>
  <c r="B12" i="2"/>
  <c r="B13" i="2"/>
  <c r="J4" i="2"/>
  <c r="B15" i="2" s="1"/>
  <c r="G4" i="2"/>
  <c r="B16" i="2"/>
  <c r="D23" i="2"/>
  <c r="B17" i="2" s="1"/>
  <c r="G23" i="2"/>
  <c r="B18" i="2"/>
  <c r="R23" i="2"/>
  <c r="D77" i="1"/>
  <c r="D16" i="2" s="1"/>
  <c r="U23" i="2"/>
  <c r="U25" i="2" s="1"/>
  <c r="T26" i="2" s="1"/>
  <c r="D5" i="3" s="1"/>
  <c r="C8" i="4" s="1"/>
  <c r="T24" i="2"/>
  <c r="O29" i="2"/>
  <c r="D81" i="1"/>
  <c r="D17" i="2" s="1"/>
  <c r="O30" i="2" s="1"/>
  <c r="R29" i="2"/>
  <c r="A23" i="2"/>
  <c r="D65" i="1"/>
  <c r="J23" i="2"/>
  <c r="J26" i="2" s="1"/>
  <c r="K27" i="2" s="1"/>
  <c r="E11" i="3" s="1"/>
  <c r="D69" i="1"/>
  <c r="J24" i="2"/>
  <c r="D73" i="1"/>
  <c r="J25" i="2"/>
  <c r="K16" i="2" s="1"/>
  <c r="K17" i="2" s="1"/>
  <c r="J5" i="2"/>
  <c r="E29" i="2"/>
  <c r="B29" i="2"/>
  <c r="E17" i="2"/>
  <c r="N30" i="2"/>
  <c r="E16" i="2"/>
  <c r="Q24" i="2"/>
  <c r="K25" i="2"/>
  <c r="J16" i="2"/>
  <c r="H11" i="2"/>
  <c r="K24" i="2"/>
  <c r="G11" i="2"/>
  <c r="K23" i="2"/>
  <c r="G10" i="2"/>
  <c r="U24" i="2"/>
  <c r="Q3" i="2" s="1"/>
  <c r="R3" i="2"/>
  <c r="K5" i="2"/>
  <c r="N4" i="2"/>
  <c r="O4" i="2"/>
  <c r="E12" i="2"/>
  <c r="N3" i="2"/>
  <c r="O3" i="2"/>
  <c r="E3" i="2"/>
  <c r="Q29" i="2"/>
  <c r="Q23" i="2"/>
  <c r="N29" i="2"/>
  <c r="N23" i="2"/>
  <c r="E66" i="1"/>
  <c r="E70" i="1"/>
  <c r="E74" i="1"/>
  <c r="E57" i="1"/>
  <c r="E60" i="1"/>
  <c r="O5" i="2"/>
  <c r="D14" i="6" s="1"/>
  <c r="E63" i="1"/>
  <c r="R4" i="2"/>
  <c r="D15" i="6"/>
  <c r="E20" i="1"/>
  <c r="E26" i="1"/>
  <c r="E78" i="1"/>
  <c r="E29" i="1"/>
  <c r="E23" i="1"/>
  <c r="E32" i="1"/>
  <c r="Q30" i="2"/>
  <c r="D89" i="1"/>
  <c r="E5" i="1"/>
  <c r="O15" i="2" s="1"/>
  <c r="O16" i="2" s="1"/>
  <c r="E8" i="1"/>
  <c r="E11" i="1"/>
  <c r="E14" i="1"/>
  <c r="E17" i="1"/>
  <c r="E41" i="1"/>
  <c r="E44" i="1"/>
  <c r="E47" i="1"/>
  <c r="E50" i="1"/>
  <c r="E54" i="1"/>
  <c r="C7" i="6"/>
  <c r="C9" i="6"/>
  <c r="C10" i="6"/>
  <c r="A3" i="6"/>
  <c r="A1" i="6"/>
  <c r="C11" i="5"/>
  <c r="A20" i="4"/>
  <c r="A21" i="4"/>
  <c r="A19" i="4"/>
  <c r="A18" i="4"/>
  <c r="A14" i="4"/>
  <c r="A13" i="4"/>
  <c r="A7" i="4"/>
  <c r="A8" i="4"/>
  <c r="A9" i="4"/>
  <c r="A10" i="4"/>
  <c r="A6" i="4"/>
  <c r="A1" i="4"/>
  <c r="A1" i="5"/>
  <c r="D85" i="1"/>
  <c r="E86" i="1" s="1"/>
  <c r="E90" i="1"/>
  <c r="H24" i="2"/>
  <c r="E15" i="3"/>
  <c r="C20" i="4" s="1"/>
  <c r="E24" i="2"/>
  <c r="E16" i="3"/>
  <c r="C21" i="4"/>
  <c r="C10" i="5"/>
  <c r="C16" i="5"/>
  <c r="N15" i="2"/>
  <c r="C28" i="5"/>
  <c r="C27" i="5"/>
  <c r="D7" i="3"/>
  <c r="C10" i="4"/>
  <c r="B24" i="2"/>
  <c r="E14" i="3"/>
  <c r="C19" i="4" s="1"/>
  <c r="W24" i="2" l="1"/>
  <c r="N24" i="2"/>
  <c r="D3" i="3" s="1"/>
  <c r="D17" i="6"/>
  <c r="C33" i="5"/>
  <c r="D13" i="6"/>
  <c r="C19" i="5"/>
  <c r="D18" i="2"/>
  <c r="R24" i="2"/>
  <c r="R25" i="2" s="1"/>
  <c r="Q26" i="2" s="1"/>
  <c r="D4" i="3" s="1"/>
  <c r="C7" i="4" s="1"/>
  <c r="C18" i="5"/>
  <c r="D19" i="5" s="1"/>
  <c r="C12" i="6"/>
  <c r="A20" i="2"/>
  <c r="D10" i="3"/>
  <c r="C18" i="4"/>
  <c r="D22" i="4" s="1"/>
  <c r="J6" i="2"/>
  <c r="K7" i="2" s="1"/>
  <c r="A29" i="2" s="1"/>
  <c r="B30" i="2" s="1"/>
  <c r="E12" i="3" s="1"/>
  <c r="C13" i="4" s="1"/>
  <c r="D14" i="4" s="1"/>
  <c r="G5" i="2"/>
  <c r="H6" i="2" s="1"/>
  <c r="D29" i="2" s="1"/>
  <c r="E30" i="2" s="1"/>
  <c r="E13" i="3" s="1"/>
  <c r="C14" i="4" s="1"/>
  <c r="E82" i="1"/>
  <c r="H10" i="2"/>
  <c r="H12" i="2" s="1"/>
  <c r="C8" i="5" l="1"/>
  <c r="C5" i="6"/>
  <c r="C9" i="5"/>
  <c r="C6" i="6"/>
  <c r="C6" i="4"/>
  <c r="D11" i="6"/>
  <c r="C17" i="5"/>
  <c r="D17" i="5" s="1"/>
  <c r="D20" i="5" s="1"/>
  <c r="C19" i="6" l="1"/>
  <c r="D13" i="5"/>
  <c r="D22" i="5" s="1"/>
  <c r="N32" i="2"/>
  <c r="D6" i="3"/>
  <c r="C9" i="4" s="1"/>
  <c r="D11" i="4" s="1"/>
  <c r="D15" i="4" s="1"/>
  <c r="D24" i="4" s="1"/>
  <c r="X23" i="2"/>
  <c r="X25" i="2" s="1"/>
  <c r="D26" i="4" l="1"/>
  <c r="D25" i="4"/>
  <c r="G29" i="2"/>
  <c r="X27" i="2"/>
  <c r="W28" i="2" s="1"/>
  <c r="R15" i="2" s="1"/>
  <c r="R16" i="2" s="1"/>
  <c r="W26" i="2"/>
  <c r="E8" i="3"/>
  <c r="C34" i="5" l="1"/>
  <c r="D35" i="5" s="1"/>
  <c r="D18" i="6"/>
  <c r="H30" i="2"/>
  <c r="U3" i="2"/>
  <c r="U4" i="2" s="1"/>
  <c r="D24" i="3"/>
  <c r="E25" i="3" s="1"/>
  <c r="D18" i="3"/>
  <c r="D21" i="3" l="1"/>
  <c r="E22" i="3" s="1"/>
  <c r="E19" i="3"/>
  <c r="D16" i="6"/>
  <c r="D19" i="6" s="1"/>
  <c r="C29" i="5"/>
  <c r="D30" i="5" s="1"/>
  <c r="D37" i="5" s="1"/>
</calcChain>
</file>

<file path=xl/sharedStrings.xml><?xml version="1.0" encoding="utf-8"?>
<sst xmlns="http://schemas.openxmlformats.org/spreadsheetml/2006/main" count="244" uniqueCount="147">
  <si>
    <t>Forest City Tennis Club - Pro Shop and Bar Lounge</t>
  </si>
  <si>
    <t>General Ledger</t>
  </si>
  <si>
    <t>Cash</t>
  </si>
  <si>
    <t>Common Shares</t>
  </si>
  <si>
    <t>Inventory</t>
  </si>
  <si>
    <t>Liquor Inventory</t>
  </si>
  <si>
    <t>Fixtures</t>
  </si>
  <si>
    <t>Glassware</t>
  </si>
  <si>
    <t>Rent Expense</t>
  </si>
  <si>
    <t>Pro Shop Sales</t>
  </si>
  <si>
    <t>Match Revenues</t>
  </si>
  <si>
    <t>Instruction Revenues</t>
  </si>
  <si>
    <t>Liquor Sales</t>
  </si>
  <si>
    <t>Other Revenue</t>
  </si>
  <si>
    <t>Prepaid Rent</t>
  </si>
  <si>
    <t>Wages Expense</t>
  </si>
  <si>
    <t>24,000+27,500=51,500</t>
  </si>
  <si>
    <t>Salaries Expense</t>
  </si>
  <si>
    <t>Accounts Payable</t>
  </si>
  <si>
    <t>Unearned Liquor Revenue</t>
  </si>
  <si>
    <t>Amortization Expense</t>
  </si>
  <si>
    <t>Accumulated Amortization - Fixtures</t>
  </si>
  <si>
    <t>11,000/5=2,200</t>
  </si>
  <si>
    <t>Accumulated Amortization - New Fixtures</t>
  </si>
  <si>
    <t>Accumulated Amortization - Glassware</t>
  </si>
  <si>
    <t>(8,400+4,200)/8*(1/12)=131</t>
  </si>
  <si>
    <t>4,000/2=2,000</t>
  </si>
  <si>
    <t>Accounts Receivable</t>
  </si>
  <si>
    <t>(606*100)-45,600=15,000</t>
  </si>
  <si>
    <t>4*150=600</t>
  </si>
  <si>
    <t>(16,340+26,650+2,000)-17,880=27,110</t>
  </si>
  <si>
    <t>Liquor Cost of Goods Sold</t>
  </si>
  <si>
    <t>Inventory Cost of Goods Sold</t>
  </si>
  <si>
    <t xml:space="preserve">Liquor </t>
  </si>
  <si>
    <t>(13,660+14,400)-11,920=16,140</t>
  </si>
  <si>
    <t>C1</t>
  </si>
  <si>
    <t>Liquor Revenue</t>
  </si>
  <si>
    <t>Match Revenue</t>
  </si>
  <si>
    <t>Instruction Revenue</t>
  </si>
  <si>
    <t>Assets</t>
  </si>
  <si>
    <t>ASSETS</t>
  </si>
  <si>
    <t>LIABILITIES &amp; OWNER'S EQUITY</t>
  </si>
  <si>
    <t>REVENUES</t>
  </si>
  <si>
    <t>EXPENSES</t>
  </si>
  <si>
    <t>CASH</t>
  </si>
  <si>
    <t>COMMON SHARES</t>
  </si>
  <si>
    <t>INVENTORY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</si>
  <si>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</si>
  <si>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</si>
  <si>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</si>
  <si>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</si>
  <si>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</si>
  <si>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</si>
  <si>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</si>
  <si>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</si>
  <si>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</si>
  <si>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</si>
  <si>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</si>
  <si>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</si>
  <si>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</si>
  <si>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</si>
  <si>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</si>
  <si>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</si>
  <si>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</si>
  <si>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</si>
  <si>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</si>
  <si>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</si>
  <si>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</si>
  <si>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</si>
  <si>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</si>
  <si>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</si>
  <si>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</si>
  <si>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</si>
  <si>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LIQUOR INV</t>
  </si>
  <si>
    <t>FIXTURES</t>
  </si>
  <si>
    <t>GLASSWARE</t>
  </si>
  <si>
    <t>RENT</t>
  </si>
  <si>
    <t>PRO SHOP</t>
  </si>
  <si>
    <t>MATCH</t>
  </si>
  <si>
    <t>INSTRUCTION</t>
  </si>
  <si>
    <t>LIQUOR</t>
  </si>
  <si>
    <t>OTHER</t>
  </si>
  <si>
    <t>PREPAID RENT</t>
  </si>
  <si>
    <t>WAGES</t>
  </si>
  <si>
    <t>SALARIES</t>
  </si>
  <si>
    <t>UNEARNED REVENUE</t>
  </si>
  <si>
    <t>AMORTIZATION</t>
  </si>
  <si>
    <t>A/A-FIXTURES</t>
  </si>
  <si>
    <t>A/A-GLASSWARE</t>
  </si>
  <si>
    <t>A/R</t>
  </si>
  <si>
    <t>A/P</t>
  </si>
  <si>
    <t>E/B</t>
  </si>
  <si>
    <t>T/B</t>
  </si>
  <si>
    <t>COGS</t>
  </si>
  <si>
    <t>LIQUOR COGS</t>
  </si>
  <si>
    <t>TAXES</t>
  </si>
  <si>
    <t>INCOME SUMMARY</t>
  </si>
  <si>
    <t>C2</t>
  </si>
  <si>
    <t>C4</t>
  </si>
  <si>
    <t>C3</t>
  </si>
  <si>
    <t>TAXES PAYABLE</t>
  </si>
  <si>
    <t>C5</t>
  </si>
  <si>
    <t>RETAINED EARNINGS</t>
  </si>
  <si>
    <t>CLOSING ENTRIES</t>
  </si>
  <si>
    <t>Pro Shop Revenue</t>
  </si>
  <si>
    <t>Income Summary</t>
  </si>
  <si>
    <t>Rent</t>
  </si>
  <si>
    <t>Wages</t>
  </si>
  <si>
    <t>Salaries</t>
  </si>
  <si>
    <t>Amortization</t>
  </si>
  <si>
    <t>Liquor COGS</t>
  </si>
  <si>
    <t>Taxes Expense</t>
  </si>
  <si>
    <t>Taxes Payable</t>
  </si>
  <si>
    <t>Retained Earnings</t>
  </si>
  <si>
    <t>Income Statement</t>
  </si>
  <si>
    <t>For the Year Ended June 30, 2008</t>
  </si>
  <si>
    <t>Revenues</t>
  </si>
  <si>
    <t>Total Revenue</t>
  </si>
  <si>
    <t>Gross Margin</t>
  </si>
  <si>
    <t>Operating Expenses</t>
  </si>
  <si>
    <t>Total Operating Expenses</t>
  </si>
  <si>
    <t>Net Income Before Tax</t>
  </si>
  <si>
    <t>Income Tax Expense</t>
  </si>
  <si>
    <t>Net Income</t>
  </si>
  <si>
    <t>Balance Sheet</t>
  </si>
  <si>
    <t>As At June 30, 2008</t>
  </si>
  <si>
    <t>Current Assets</t>
  </si>
  <si>
    <t>Pro Shop Inventory</t>
  </si>
  <si>
    <t>Total Current Assets</t>
  </si>
  <si>
    <t>Fixed Assets</t>
  </si>
  <si>
    <t>A/A-Fixtures</t>
  </si>
  <si>
    <t>A/A-Glassware</t>
  </si>
  <si>
    <t>Total Fixed Assets</t>
  </si>
  <si>
    <t>Total Assets</t>
  </si>
  <si>
    <t>Liabilities &amp; Shareholder's Equity</t>
  </si>
  <si>
    <t>Current Liabilities</t>
  </si>
  <si>
    <t>Unearned Revenue</t>
  </si>
  <si>
    <t>Total Current Liabilities</t>
  </si>
  <si>
    <t>Shareholder's Equity</t>
  </si>
  <si>
    <t>Total Shareholder's Equity</t>
  </si>
  <si>
    <t>Total Liabilities &amp; Shareholder's Equity</t>
  </si>
  <si>
    <t>Trial Balance</t>
  </si>
  <si>
    <t>Total:</t>
  </si>
  <si>
    <t>Rent Expense:1,500*12=18,000</t>
  </si>
  <si>
    <t>Prepaid Rent: 19,500-18,000=1,500</t>
  </si>
  <si>
    <t>COGS [25]</t>
  </si>
  <si>
    <t>COGS [26]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</si>
</sst>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_-;\-* #,##0_-;_-* &quot;-&quot;??_-;_-@_-"/>
    <numFmt numFmtId="167" formatCode="_-&quot;$&quot;* #,##0_-;\-&quot;$&quot;* #,##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left" indent="1"/>
    </xf>
    <xf numFmtId="166" fontId="0" fillId="0" borderId="0" xfId="1" applyNumberFormat="1" applyFont="1"/>
    <xf numFmtId="0" fontId="0" fillId="0" borderId="0" xfId="0" applyAlignment="1">
      <alignment horizontal="left"/>
    </xf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3" fillId="0" borderId="0" xfId="0" applyFont="1" applyBorder="1" applyAlignment="1">
      <alignment horizontal="center"/>
    </xf>
    <xf numFmtId="0" fontId="3" fillId="0" borderId="2" xfId="0" applyFont="1" applyBorder="1" applyAlignme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 applyAlignment="1"/>
    <xf numFmtId="0" fontId="0" fillId="0" borderId="10" xfId="0" applyBorder="1" applyAlignment="1"/>
    <xf numFmtId="1" fontId="0" fillId="0" borderId="10" xfId="0" applyNumberFormat="1" applyBorder="1"/>
    <xf numFmtId="1" fontId="0" fillId="0" borderId="0" xfId="0" applyNumberFormat="1" applyBorder="1"/>
    <xf numFmtId="0" fontId="0" fillId="0" borderId="15" xfId="0" applyBorder="1"/>
    <xf numFmtId="0" fontId="0" fillId="0" borderId="16" xfId="0" applyBorder="1"/>
    <xf numFmtId="1" fontId="0" fillId="0" borderId="11" xfId="0" applyNumberFormat="1" applyBorder="1"/>
    <xf numFmtId="1" fontId="0" fillId="0" borderId="14" xfId="0" applyNumberFormat="1" applyBorder="1"/>
    <xf numFmtId="1" fontId="0" fillId="0" borderId="0" xfId="0" applyNumberFormat="1"/>
    <xf numFmtId="1" fontId="0" fillId="0" borderId="9" xfId="0" applyNumberFormat="1" applyBorder="1"/>
    <xf numFmtId="1" fontId="0" fillId="0" borderId="16" xfId="0" applyNumberFormat="1" applyBorder="1"/>
    <xf numFmtId="164" fontId="0" fillId="0" borderId="0" xfId="2" applyFont="1"/>
    <xf numFmtId="167" fontId="0" fillId="0" borderId="0" xfId="2" applyNumberFormat="1" applyFont="1"/>
    <xf numFmtId="166" fontId="0" fillId="0" borderId="11" xfId="1" applyNumberFormat="1" applyFont="1" applyBorder="1"/>
    <xf numFmtId="167" fontId="0" fillId="0" borderId="16" xfId="2" applyNumberFormat="1" applyFont="1" applyBorder="1"/>
    <xf numFmtId="167" fontId="0" fillId="0" borderId="18" xfId="2" applyNumberFormat="1" applyFont="1" applyBorder="1"/>
    <xf numFmtId="166" fontId="0" fillId="0" borderId="17" xfId="1" applyNumberFormat="1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4" fillId="0" borderId="0" xfId="0" applyFont="1" applyAlignment="1" applyProtection="1">
      <alignment horizontal="left" vertical="center" wrapText="1"/>
      <protection locked="0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5"/>
  <sheetViews>
    <sheetView workbookViewId="0">
      <selection activeCell="J21" sqref="J21"/>
    </sheetView>
  </sheetViews>
  <sheetFormatPr baseColWidth="10" defaultColWidth="8.83203125" defaultRowHeight="15" x14ac:dyDescent="0.2"/>
  <cols>
    <col min="1" max="1" width="3.83203125" customWidth="1"/>
    <col min="2" max="2" width="39.5" customWidth="1"/>
    <col min="3" max="3" width="1.5" customWidth="1"/>
  </cols>
  <sheetData>
    <row r="1" spans="1:6" x14ac:dyDescent="0.2">
      <c r="A1" s="40" t="s">
        <v>0</v>
      </c>
      <c r="B1" s="40"/>
      <c r="C1" s="40"/>
      <c r="D1" s="40"/>
      <c r="E1" s="40"/>
    </row>
    <row r="2" spans="1:6" ht="16" thickBot="1" x14ac:dyDescent="0.25">
      <c r="A2" s="41" t="s">
        <v>1</v>
      </c>
      <c r="B2" s="41"/>
      <c r="C2" s="41"/>
      <c r="D2" s="41"/>
      <c r="E2" s="41"/>
    </row>
    <row r="4" spans="1:6" x14ac:dyDescent="0.2">
      <c r="A4" t="s">
        <v>47</v>
      </c>
      <c r="B4" t="s">
        <v>2</v>
      </c>
      <c r="D4" s="2">
        <v>100000</v>
      </c>
      <c r="E4" s="2"/>
    </row>
    <row r="5" spans="1:6" x14ac:dyDescent="0.2">
      <c r="B5" s="1" t="s">
        <v>3</v>
      </c>
      <c r="D5" s="2"/>
      <c r="E5" s="2">
        <f>D4</f>
        <v>100000</v>
      </c>
      <c r="F5" s="38"/>
    </row>
    <row r="6" spans="1:6" x14ac:dyDescent="0.2">
      <c r="D6" s="2"/>
      <c r="E6" s="2"/>
    </row>
    <row r="7" spans="1:6" x14ac:dyDescent="0.2">
      <c r="A7" t="s">
        <v>48</v>
      </c>
      <c r="B7" t="s">
        <v>4</v>
      </c>
      <c r="D7" s="2">
        <v>16340</v>
      </c>
      <c r="E7" s="2"/>
    </row>
    <row r="8" spans="1:6" x14ac:dyDescent="0.2">
      <c r="B8" s="1" t="s">
        <v>2</v>
      </c>
      <c r="D8" s="2"/>
      <c r="E8" s="2">
        <f>D7</f>
        <v>16340</v>
      </c>
    </row>
    <row r="9" spans="1:6" x14ac:dyDescent="0.2">
      <c r="D9" s="2"/>
      <c r="E9" s="2"/>
    </row>
    <row r="10" spans="1:6" x14ac:dyDescent="0.2">
      <c r="A10" t="s">
        <v>49</v>
      </c>
      <c r="B10" t="s">
        <v>5</v>
      </c>
      <c r="D10" s="2">
        <v>13660</v>
      </c>
      <c r="E10" s="2"/>
    </row>
    <row r="11" spans="1:6" x14ac:dyDescent="0.2">
      <c r="B11" s="1" t="s">
        <v>2</v>
      </c>
      <c r="D11" s="2"/>
      <c r="E11" s="2">
        <f>D10</f>
        <v>13660</v>
      </c>
    </row>
    <row r="12" spans="1:6" x14ac:dyDescent="0.2">
      <c r="D12" s="2"/>
      <c r="E12" s="2"/>
    </row>
    <row r="13" spans="1:6" x14ac:dyDescent="0.2">
      <c r="A13" t="s">
        <v>50</v>
      </c>
      <c r="B13" t="s">
        <v>6</v>
      </c>
      <c r="D13" s="2">
        <v>11000</v>
      </c>
      <c r="E13" s="2"/>
    </row>
    <row r="14" spans="1:6" x14ac:dyDescent="0.2">
      <c r="B14" s="1" t="s">
        <v>2</v>
      </c>
      <c r="D14" s="2"/>
      <c r="E14" s="2">
        <f>D13</f>
        <v>11000</v>
      </c>
    </row>
    <row r="15" spans="1:6" x14ac:dyDescent="0.2">
      <c r="D15" s="2"/>
      <c r="E15" s="2"/>
    </row>
    <row r="16" spans="1:6" x14ac:dyDescent="0.2">
      <c r="A16" t="s">
        <v>51</v>
      </c>
      <c r="B16" t="s">
        <v>7</v>
      </c>
      <c r="D16" s="2">
        <v>4000</v>
      </c>
      <c r="E16" s="2"/>
    </row>
    <row r="17" spans="1:6" x14ac:dyDescent="0.2">
      <c r="B17" s="1" t="s">
        <v>2</v>
      </c>
      <c r="D17" s="2"/>
      <c r="E17" s="2">
        <f>D16</f>
        <v>4000</v>
      </c>
    </row>
    <row r="18" spans="1:6" x14ac:dyDescent="0.2">
      <c r="D18" s="2"/>
      <c r="E18" s="2"/>
    </row>
    <row r="19" spans="1:6" x14ac:dyDescent="0.2">
      <c r="A19" t="s">
        <v>52</v>
      </c>
      <c r="B19" t="s">
        <v>2</v>
      </c>
      <c r="D19" s="2">
        <v>53700</v>
      </c>
      <c r="E19" s="2"/>
    </row>
    <row r="20" spans="1:6" x14ac:dyDescent="0.2">
      <c r="B20" s="1" t="s">
        <v>9</v>
      </c>
      <c r="D20" s="2"/>
      <c r="E20" s="2">
        <f>D19</f>
        <v>53700</v>
      </c>
    </row>
    <row r="21" spans="1:6" x14ac:dyDescent="0.2">
      <c r="D21" s="2"/>
      <c r="E21" s="2"/>
    </row>
    <row r="22" spans="1:6" x14ac:dyDescent="0.2">
      <c r="A22" t="s">
        <v>53</v>
      </c>
      <c r="B22" t="s">
        <v>2</v>
      </c>
      <c r="D22" s="2">
        <v>22650</v>
      </c>
      <c r="E22" s="2"/>
    </row>
    <row r="23" spans="1:6" x14ac:dyDescent="0.2">
      <c r="B23" s="1" t="s">
        <v>10</v>
      </c>
      <c r="D23" s="2"/>
      <c r="E23" s="2">
        <f>D22</f>
        <v>22650</v>
      </c>
    </row>
    <row r="24" spans="1:6" x14ac:dyDescent="0.2">
      <c r="D24" s="2"/>
      <c r="E24" s="2"/>
    </row>
    <row r="25" spans="1:6" x14ac:dyDescent="0.2">
      <c r="A25" t="s">
        <v>54</v>
      </c>
      <c r="B25" t="s">
        <v>2</v>
      </c>
      <c r="D25" s="2">
        <v>45600</v>
      </c>
      <c r="E25" s="2"/>
    </row>
    <row r="26" spans="1:6" x14ac:dyDescent="0.2">
      <c r="B26" s="1" t="s">
        <v>11</v>
      </c>
      <c r="D26" s="2"/>
      <c r="E26" s="2">
        <f>D25</f>
        <v>45600</v>
      </c>
    </row>
    <row r="27" spans="1:6" x14ac:dyDescent="0.2">
      <c r="D27" s="2"/>
      <c r="E27" s="2"/>
    </row>
    <row r="28" spans="1:6" x14ac:dyDescent="0.2">
      <c r="A28" t="s">
        <v>55</v>
      </c>
      <c r="B28" t="s">
        <v>2</v>
      </c>
      <c r="D28" s="2">
        <v>64550</v>
      </c>
      <c r="E28" s="2"/>
      <c r="F28" s="39"/>
    </row>
    <row r="29" spans="1:6" x14ac:dyDescent="0.2">
      <c r="B29" s="1" t="s">
        <v>12</v>
      </c>
      <c r="D29" s="2"/>
      <c r="E29" s="2">
        <f>D28</f>
        <v>64550</v>
      </c>
    </row>
    <row r="30" spans="1:6" x14ac:dyDescent="0.2">
      <c r="D30" s="2"/>
      <c r="E30" s="2"/>
    </row>
    <row r="31" spans="1:6" x14ac:dyDescent="0.2">
      <c r="A31" t="s">
        <v>56</v>
      </c>
      <c r="B31" t="s">
        <v>2</v>
      </c>
      <c r="D31" s="2">
        <v>3050</v>
      </c>
      <c r="E31" s="2"/>
    </row>
    <row r="32" spans="1:6" x14ac:dyDescent="0.2">
      <c r="B32" s="1" t="s">
        <v>13</v>
      </c>
      <c r="D32" s="2"/>
      <c r="E32" s="2">
        <f>D31</f>
        <v>3050</v>
      </c>
    </row>
    <row r="33" spans="1:6" x14ac:dyDescent="0.2">
      <c r="D33" s="2"/>
      <c r="E33" s="2"/>
    </row>
    <row r="34" spans="1:6" x14ac:dyDescent="0.2">
      <c r="A34" t="s">
        <v>57</v>
      </c>
      <c r="B34" t="s">
        <v>8</v>
      </c>
      <c r="D34" s="2">
        <v>18000</v>
      </c>
      <c r="E34" s="2"/>
    </row>
    <row r="35" spans="1:6" x14ac:dyDescent="0.2">
      <c r="B35" t="s">
        <v>14</v>
      </c>
      <c r="D35" s="2">
        <v>1500</v>
      </c>
      <c r="E35" s="2"/>
    </row>
    <row r="36" spans="1:6" x14ac:dyDescent="0.2">
      <c r="B36" s="1" t="s">
        <v>2</v>
      </c>
      <c r="D36" s="2"/>
      <c r="E36" s="2">
        <v>19500</v>
      </c>
    </row>
    <row r="37" spans="1:6" x14ac:dyDescent="0.2">
      <c r="B37" s="3" t="s">
        <v>143</v>
      </c>
      <c r="D37" s="2"/>
      <c r="E37" s="2"/>
    </row>
    <row r="38" spans="1:6" x14ac:dyDescent="0.2">
      <c r="B38" s="3" t="s">
        <v>144</v>
      </c>
      <c r="D38" s="2"/>
      <c r="E38" s="2"/>
    </row>
    <row r="39" spans="1:6" x14ac:dyDescent="0.2">
      <c r="D39" s="2"/>
      <c r="E39" s="2"/>
    </row>
    <row r="40" spans="1:6" x14ac:dyDescent="0.2">
      <c r="A40" t="s">
        <v>58</v>
      </c>
      <c r="B40" t="s">
        <v>6</v>
      </c>
      <c r="D40" s="2">
        <v>8400</v>
      </c>
      <c r="E40" s="2"/>
    </row>
    <row r="41" spans="1:6" x14ac:dyDescent="0.2">
      <c r="B41" s="1" t="s">
        <v>2</v>
      </c>
      <c r="D41" s="2"/>
      <c r="E41" s="2">
        <f>D40</f>
        <v>8400</v>
      </c>
    </row>
    <row r="42" spans="1:6" x14ac:dyDescent="0.2">
      <c r="D42" s="2"/>
      <c r="E42" s="2"/>
    </row>
    <row r="43" spans="1:6" x14ac:dyDescent="0.2">
      <c r="A43" t="s">
        <v>59</v>
      </c>
      <c r="B43" t="s">
        <v>4</v>
      </c>
      <c r="D43" s="2">
        <v>26650</v>
      </c>
      <c r="E43" s="2"/>
    </row>
    <row r="44" spans="1:6" x14ac:dyDescent="0.2">
      <c r="B44" s="1" t="s">
        <v>2</v>
      </c>
      <c r="D44" s="2"/>
      <c r="E44" s="2">
        <f>D43</f>
        <v>26650</v>
      </c>
    </row>
    <row r="45" spans="1:6" x14ac:dyDescent="0.2">
      <c r="D45" s="2"/>
      <c r="E45" s="2"/>
    </row>
    <row r="46" spans="1:6" x14ac:dyDescent="0.2">
      <c r="A46" t="s">
        <v>60</v>
      </c>
      <c r="B46" t="s">
        <v>5</v>
      </c>
      <c r="D46" s="2">
        <v>14400</v>
      </c>
      <c r="E46" s="2"/>
    </row>
    <row r="47" spans="1:6" x14ac:dyDescent="0.2">
      <c r="B47" s="1" t="s">
        <v>2</v>
      </c>
      <c r="D47" s="2"/>
      <c r="E47" s="2">
        <f>D46</f>
        <v>14400</v>
      </c>
      <c r="F47" s="38"/>
    </row>
    <row r="48" spans="1:6" x14ac:dyDescent="0.2">
      <c r="D48" s="2"/>
      <c r="E48" s="2"/>
    </row>
    <row r="49" spans="1:6" x14ac:dyDescent="0.2">
      <c r="A49" t="s">
        <v>61</v>
      </c>
      <c r="B49" t="s">
        <v>15</v>
      </c>
      <c r="D49" s="2">
        <v>51500</v>
      </c>
      <c r="E49" s="2"/>
    </row>
    <row r="50" spans="1:6" x14ac:dyDescent="0.2">
      <c r="B50" s="1" t="s">
        <v>2</v>
      </c>
      <c r="D50" s="2"/>
      <c r="E50" s="2">
        <f>D49</f>
        <v>51500</v>
      </c>
    </row>
    <row r="51" spans="1:6" x14ac:dyDescent="0.2">
      <c r="B51" t="s">
        <v>16</v>
      </c>
      <c r="D51" s="2"/>
      <c r="E51" s="2"/>
    </row>
    <row r="52" spans="1:6" x14ac:dyDescent="0.2">
      <c r="D52" s="2"/>
      <c r="E52" s="2"/>
    </row>
    <row r="53" spans="1:6" x14ac:dyDescent="0.2">
      <c r="A53" t="s">
        <v>62</v>
      </c>
      <c r="B53" t="s">
        <v>17</v>
      </c>
      <c r="D53" s="2">
        <v>52000</v>
      </c>
      <c r="E53" s="2"/>
    </row>
    <row r="54" spans="1:6" x14ac:dyDescent="0.2">
      <c r="B54" s="1" t="s">
        <v>2</v>
      </c>
      <c r="D54" s="2"/>
      <c r="E54" s="2">
        <f>D53</f>
        <v>52000</v>
      </c>
    </row>
    <row r="55" spans="1:6" x14ac:dyDescent="0.2">
      <c r="D55" s="2"/>
      <c r="E55" s="2"/>
    </row>
    <row r="56" spans="1:6" x14ac:dyDescent="0.2">
      <c r="A56" t="s">
        <v>63</v>
      </c>
      <c r="B56" t="s">
        <v>6</v>
      </c>
      <c r="D56" s="2">
        <v>4200</v>
      </c>
      <c r="E56" s="2"/>
      <c r="F56" s="39"/>
    </row>
    <row r="57" spans="1:6" x14ac:dyDescent="0.2">
      <c r="B57" s="1" t="s">
        <v>18</v>
      </c>
      <c r="D57" s="2"/>
      <c r="E57" s="2">
        <f>D56</f>
        <v>4200</v>
      </c>
    </row>
    <row r="58" spans="1:6" x14ac:dyDescent="0.2">
      <c r="D58" s="2"/>
      <c r="E58" s="2"/>
    </row>
    <row r="59" spans="1:6" x14ac:dyDescent="0.2">
      <c r="A59" t="s">
        <v>64</v>
      </c>
      <c r="B59" t="s">
        <v>4</v>
      </c>
      <c r="D59" s="2">
        <v>2000</v>
      </c>
      <c r="E59" s="2"/>
      <c r="F59" s="39"/>
    </row>
    <row r="60" spans="1:6" x14ac:dyDescent="0.2">
      <c r="B60" s="1" t="s">
        <v>18</v>
      </c>
      <c r="D60" s="2"/>
      <c r="E60" s="2">
        <f>D59</f>
        <v>2000</v>
      </c>
    </row>
    <row r="61" spans="1:6" x14ac:dyDescent="0.2">
      <c r="D61" s="2"/>
      <c r="E61" s="2"/>
    </row>
    <row r="62" spans="1:6" x14ac:dyDescent="0.2">
      <c r="A62" t="s">
        <v>65</v>
      </c>
      <c r="B62" t="s">
        <v>12</v>
      </c>
      <c r="D62" s="2">
        <v>650</v>
      </c>
      <c r="E62" s="2"/>
    </row>
    <row r="63" spans="1:6" x14ac:dyDescent="0.2">
      <c r="B63" s="1" t="s">
        <v>19</v>
      </c>
      <c r="D63" s="2"/>
      <c r="E63" s="2">
        <f>D62</f>
        <v>650</v>
      </c>
    </row>
    <row r="64" spans="1:6" x14ac:dyDescent="0.2">
      <c r="D64" s="2"/>
      <c r="E64" s="2"/>
    </row>
    <row r="65" spans="1:6" x14ac:dyDescent="0.2">
      <c r="A65" t="s">
        <v>66</v>
      </c>
      <c r="B65" t="s">
        <v>20</v>
      </c>
      <c r="D65" s="2">
        <f>11000/5</f>
        <v>2200</v>
      </c>
      <c r="E65" s="2"/>
    </row>
    <row r="66" spans="1:6" x14ac:dyDescent="0.2">
      <c r="B66" s="1" t="s">
        <v>21</v>
      </c>
      <c r="D66" s="2"/>
      <c r="E66" s="2">
        <f>D65</f>
        <v>2200</v>
      </c>
    </row>
    <row r="67" spans="1:6" x14ac:dyDescent="0.2">
      <c r="B67" t="s">
        <v>22</v>
      </c>
      <c r="D67" s="2"/>
      <c r="E67" s="2"/>
    </row>
    <row r="68" spans="1:6" x14ac:dyDescent="0.2">
      <c r="D68" s="2"/>
      <c r="E68" s="2"/>
    </row>
    <row r="69" spans="1:6" x14ac:dyDescent="0.2">
      <c r="A69" t="s">
        <v>67</v>
      </c>
      <c r="B69" t="s">
        <v>20</v>
      </c>
      <c r="D69" s="2">
        <f>(8400+4200)/8*(1/12)</f>
        <v>131.25</v>
      </c>
      <c r="E69" s="2"/>
      <c r="F69" s="39"/>
    </row>
    <row r="70" spans="1:6" x14ac:dyDescent="0.2">
      <c r="B70" s="1" t="s">
        <v>23</v>
      </c>
      <c r="D70" s="2"/>
      <c r="E70" s="2">
        <f>D69</f>
        <v>131.25</v>
      </c>
    </row>
    <row r="71" spans="1:6" x14ac:dyDescent="0.2">
      <c r="B71" s="3" t="s">
        <v>25</v>
      </c>
      <c r="D71" s="2"/>
      <c r="E71" s="2"/>
    </row>
    <row r="72" spans="1:6" x14ac:dyDescent="0.2">
      <c r="D72" s="2"/>
      <c r="E72" s="2"/>
    </row>
    <row r="73" spans="1:6" x14ac:dyDescent="0.2">
      <c r="A73" t="s">
        <v>68</v>
      </c>
      <c r="B73" t="s">
        <v>20</v>
      </c>
      <c r="D73" s="2">
        <f>4000/2</f>
        <v>2000</v>
      </c>
      <c r="E73" s="2"/>
    </row>
    <row r="74" spans="1:6" x14ac:dyDescent="0.2">
      <c r="B74" s="1" t="s">
        <v>24</v>
      </c>
      <c r="D74" s="2"/>
      <c r="E74" s="2">
        <f>D73</f>
        <v>2000</v>
      </c>
    </row>
    <row r="75" spans="1:6" x14ac:dyDescent="0.2">
      <c r="B75" t="s">
        <v>26</v>
      </c>
      <c r="D75" s="2"/>
      <c r="E75" s="2"/>
    </row>
    <row r="76" spans="1:6" x14ac:dyDescent="0.2">
      <c r="D76" s="2"/>
      <c r="E76" s="2"/>
    </row>
    <row r="77" spans="1:6" x14ac:dyDescent="0.2">
      <c r="A77" t="s">
        <v>69</v>
      </c>
      <c r="B77" t="s">
        <v>27</v>
      </c>
      <c r="D77" s="2">
        <f>(606*100)-45600</f>
        <v>15000</v>
      </c>
      <c r="E77" s="2"/>
    </row>
    <row r="78" spans="1:6" x14ac:dyDescent="0.2">
      <c r="B78" s="1" t="s">
        <v>11</v>
      </c>
      <c r="D78" s="2"/>
      <c r="E78" s="2">
        <f>D77</f>
        <v>15000</v>
      </c>
    </row>
    <row r="79" spans="1:6" x14ac:dyDescent="0.2">
      <c r="B79" t="s">
        <v>28</v>
      </c>
      <c r="D79" s="2"/>
      <c r="E79" s="2"/>
    </row>
    <row r="80" spans="1:6" x14ac:dyDescent="0.2">
      <c r="D80" s="2"/>
      <c r="E80" s="2"/>
    </row>
    <row r="81" spans="1:6" x14ac:dyDescent="0.2">
      <c r="A81" t="s">
        <v>70</v>
      </c>
      <c r="B81" t="s">
        <v>27</v>
      </c>
      <c r="D81" s="2">
        <f>4*150</f>
        <v>600</v>
      </c>
      <c r="E81" s="2"/>
      <c r="F81" s="39"/>
    </row>
    <row r="82" spans="1:6" x14ac:dyDescent="0.2">
      <c r="B82" s="1" t="s">
        <v>10</v>
      </c>
      <c r="D82" s="2"/>
      <c r="E82" s="2">
        <f>D81</f>
        <v>600</v>
      </c>
    </row>
    <row r="83" spans="1:6" x14ac:dyDescent="0.2">
      <c r="B83" t="s">
        <v>29</v>
      </c>
      <c r="D83" s="2"/>
      <c r="E83" s="2"/>
    </row>
    <row r="84" spans="1:6" x14ac:dyDescent="0.2">
      <c r="D84" s="2"/>
      <c r="E84" s="2"/>
    </row>
    <row r="85" spans="1:6" x14ac:dyDescent="0.2">
      <c r="A85" t="s">
        <v>71</v>
      </c>
      <c r="B85" t="s">
        <v>32</v>
      </c>
      <c r="D85" s="2">
        <f>D7+D43+D59-17880</f>
        <v>27110</v>
      </c>
      <c r="E85" s="2"/>
    </row>
    <row r="86" spans="1:6" x14ac:dyDescent="0.2">
      <c r="B86" s="1" t="s">
        <v>4</v>
      </c>
      <c r="D86" s="2"/>
      <c r="E86" s="2">
        <f>D85</f>
        <v>27110</v>
      </c>
    </row>
    <row r="87" spans="1:6" x14ac:dyDescent="0.2">
      <c r="B87" t="s">
        <v>30</v>
      </c>
      <c r="D87" s="2"/>
      <c r="E87" s="2"/>
    </row>
    <row r="88" spans="1:6" x14ac:dyDescent="0.2">
      <c r="D88" s="2"/>
      <c r="E88" s="2"/>
    </row>
    <row r="89" spans="1:6" x14ac:dyDescent="0.2">
      <c r="A89" t="s">
        <v>72</v>
      </c>
      <c r="B89" t="s">
        <v>31</v>
      </c>
      <c r="D89" s="2">
        <f>D10+D46-11920</f>
        <v>16140</v>
      </c>
      <c r="E89" s="2"/>
    </row>
    <row r="90" spans="1:6" x14ac:dyDescent="0.2">
      <c r="B90" s="1" t="s">
        <v>33</v>
      </c>
      <c r="D90" s="2"/>
      <c r="E90" s="2">
        <f>D89</f>
        <v>16140</v>
      </c>
    </row>
    <row r="91" spans="1:6" x14ac:dyDescent="0.2">
      <c r="B91" t="s">
        <v>34</v>
      </c>
      <c r="D91" s="2"/>
      <c r="E91" s="2"/>
    </row>
    <row r="92" spans="1:6" x14ac:dyDescent="0.2">
      <c r="D92" s="2"/>
      <c r="E92" s="2"/>
    </row>
    <row r="93" spans="1:6" x14ac:dyDescent="0.2">
      <c r="B93" s="4"/>
      <c r="D93" s="2"/>
      <c r="E93" s="2"/>
    </row>
    <row r="94" spans="1:6" x14ac:dyDescent="0.2">
      <c r="D94" s="2"/>
      <c r="E94" s="2"/>
    </row>
    <row r="95" spans="1:6" x14ac:dyDescent="0.2">
      <c r="D95" s="2"/>
      <c r="E95" s="2"/>
    </row>
    <row r="96" spans="1:6" x14ac:dyDescent="0.2">
      <c r="D96" s="2"/>
      <c r="E96" s="2"/>
    </row>
    <row r="97" spans="4:5" x14ac:dyDescent="0.2">
      <c r="D97" s="2"/>
      <c r="E97" s="2"/>
    </row>
    <row r="98" spans="4:5" x14ac:dyDescent="0.2">
      <c r="D98" s="2"/>
      <c r="E98" s="2"/>
    </row>
    <row r="99" spans="4:5" x14ac:dyDescent="0.2">
      <c r="D99" s="2"/>
      <c r="E99" s="2"/>
    </row>
    <row r="100" spans="4:5" x14ac:dyDescent="0.2">
      <c r="D100" s="2"/>
      <c r="E100" s="2"/>
    </row>
    <row r="101" spans="4:5" x14ac:dyDescent="0.2">
      <c r="D101" s="2"/>
      <c r="E101" s="2"/>
    </row>
    <row r="102" spans="4:5" x14ac:dyDescent="0.2">
      <c r="D102" s="2"/>
      <c r="E102" s="2"/>
    </row>
    <row r="103" spans="4:5" x14ac:dyDescent="0.2">
      <c r="D103" s="2"/>
      <c r="E103" s="2"/>
    </row>
    <row r="104" spans="4:5" x14ac:dyDescent="0.2">
      <c r="D104" s="2"/>
      <c r="E104" s="2"/>
    </row>
    <row r="105" spans="4:5" x14ac:dyDescent="0.2">
      <c r="D105" s="2"/>
      <c r="E105" s="2"/>
    </row>
    <row r="106" spans="4:5" x14ac:dyDescent="0.2">
      <c r="D106" s="2"/>
      <c r="E106" s="2"/>
    </row>
    <row r="107" spans="4:5" x14ac:dyDescent="0.2">
      <c r="D107" s="2"/>
      <c r="E107" s="2"/>
    </row>
    <row r="108" spans="4:5" x14ac:dyDescent="0.2">
      <c r="D108" s="2"/>
      <c r="E108" s="2"/>
    </row>
    <row r="109" spans="4:5" x14ac:dyDescent="0.2">
      <c r="D109" s="2"/>
      <c r="E109" s="2"/>
    </row>
    <row r="110" spans="4:5" x14ac:dyDescent="0.2">
      <c r="D110" s="2"/>
      <c r="E110" s="2"/>
    </row>
    <row r="111" spans="4:5" x14ac:dyDescent="0.2">
      <c r="D111" s="2"/>
      <c r="E111" s="2"/>
    </row>
    <row r="112" spans="4:5" x14ac:dyDescent="0.2">
      <c r="D112" s="2"/>
      <c r="E112" s="2"/>
    </row>
    <row r="113" spans="4:5" x14ac:dyDescent="0.2">
      <c r="D113" s="2"/>
      <c r="E113" s="2"/>
    </row>
    <row r="114" spans="4:5" x14ac:dyDescent="0.2">
      <c r="D114" s="2"/>
      <c r="E114" s="2"/>
    </row>
    <row r="115" spans="4:5" x14ac:dyDescent="0.2">
      <c r="D115" s="2"/>
      <c r="E115" s="2"/>
    </row>
    <row r="116" spans="4:5" x14ac:dyDescent="0.2">
      <c r="D116" s="2"/>
      <c r="E116" s="2"/>
    </row>
    <row r="117" spans="4:5" x14ac:dyDescent="0.2">
      <c r="D117" s="2"/>
      <c r="E117" s="2"/>
    </row>
    <row r="118" spans="4:5" x14ac:dyDescent="0.2">
      <c r="D118" s="2"/>
      <c r="E118" s="2"/>
    </row>
    <row r="119" spans="4:5" x14ac:dyDescent="0.2">
      <c r="D119" s="2"/>
      <c r="E119" s="2"/>
    </row>
    <row r="120" spans="4:5" x14ac:dyDescent="0.2">
      <c r="D120" s="2"/>
      <c r="E120" s="2"/>
    </row>
    <row r="121" spans="4:5" x14ac:dyDescent="0.2">
      <c r="D121" s="2"/>
      <c r="E121" s="2"/>
    </row>
    <row r="122" spans="4:5" x14ac:dyDescent="0.2">
      <c r="D122" s="2"/>
      <c r="E122" s="2"/>
    </row>
    <row r="123" spans="4:5" x14ac:dyDescent="0.2">
      <c r="D123" s="2"/>
      <c r="E123" s="2"/>
    </row>
    <row r="124" spans="4:5" x14ac:dyDescent="0.2">
      <c r="D124" s="2"/>
      <c r="E124" s="2"/>
    </row>
    <row r="125" spans="4:5" x14ac:dyDescent="0.2">
      <c r="D125" s="2"/>
      <c r="E125" s="2"/>
    </row>
    <row r="126" spans="4:5" x14ac:dyDescent="0.2">
      <c r="D126" s="2"/>
      <c r="E126" s="2"/>
    </row>
    <row r="127" spans="4:5" x14ac:dyDescent="0.2">
      <c r="D127" s="2"/>
      <c r="E127" s="2"/>
    </row>
    <row r="128" spans="4:5" x14ac:dyDescent="0.2">
      <c r="D128" s="2"/>
      <c r="E128" s="2"/>
    </row>
    <row r="129" spans="4:5" x14ac:dyDescent="0.2">
      <c r="D129" s="2"/>
      <c r="E129" s="2"/>
    </row>
    <row r="130" spans="4:5" x14ac:dyDescent="0.2">
      <c r="D130" s="2"/>
      <c r="E130" s="2"/>
    </row>
    <row r="131" spans="4:5" x14ac:dyDescent="0.2">
      <c r="D131" s="2"/>
      <c r="E131" s="2"/>
    </row>
    <row r="132" spans="4:5" x14ac:dyDescent="0.2">
      <c r="D132" s="2"/>
      <c r="E132" s="2"/>
    </row>
    <row r="133" spans="4:5" x14ac:dyDescent="0.2">
      <c r="D133" s="2"/>
      <c r="E133" s="2"/>
    </row>
    <row r="134" spans="4:5" x14ac:dyDescent="0.2">
      <c r="D134" s="2"/>
      <c r="E134" s="2"/>
    </row>
    <row r="135" spans="4:5" x14ac:dyDescent="0.2">
      <c r="D135" s="2"/>
      <c r="E135" s="2"/>
    </row>
    <row r="136" spans="4:5" x14ac:dyDescent="0.2">
      <c r="D136" s="2"/>
      <c r="E136" s="2"/>
    </row>
    <row r="137" spans="4:5" x14ac:dyDescent="0.2">
      <c r="D137" s="2"/>
      <c r="E137" s="2"/>
    </row>
    <row r="138" spans="4:5" x14ac:dyDescent="0.2">
      <c r="D138" s="2"/>
      <c r="E138" s="2"/>
    </row>
    <row r="139" spans="4:5" x14ac:dyDescent="0.2">
      <c r="D139" s="2"/>
      <c r="E139" s="2"/>
    </row>
    <row r="140" spans="4:5" x14ac:dyDescent="0.2">
      <c r="D140" s="2"/>
      <c r="E140" s="2"/>
    </row>
    <row r="141" spans="4:5" x14ac:dyDescent="0.2">
      <c r="D141" s="2"/>
      <c r="E141" s="2"/>
    </row>
    <row r="142" spans="4:5" x14ac:dyDescent="0.2">
      <c r="D142" s="2"/>
      <c r="E142" s="2"/>
    </row>
    <row r="143" spans="4:5" x14ac:dyDescent="0.2">
      <c r="D143" s="2"/>
      <c r="E143" s="2"/>
    </row>
    <row r="144" spans="4:5" x14ac:dyDescent="0.2">
      <c r="D144" s="2"/>
      <c r="E144" s="2"/>
    </row>
    <row r="145" spans="4:5" x14ac:dyDescent="0.2">
      <c r="D145" s="2"/>
      <c r="E145" s="2"/>
    </row>
    <row r="146" spans="4:5" x14ac:dyDescent="0.2">
      <c r="D146" s="2"/>
      <c r="E146" s="2"/>
    </row>
    <row r="147" spans="4:5" x14ac:dyDescent="0.2">
      <c r="D147" s="2"/>
      <c r="E147" s="2"/>
    </row>
    <row r="148" spans="4:5" x14ac:dyDescent="0.2">
      <c r="D148" s="2"/>
      <c r="E148" s="2"/>
    </row>
    <row r="149" spans="4:5" x14ac:dyDescent="0.2">
      <c r="D149" s="2"/>
      <c r="E149" s="2"/>
    </row>
    <row r="150" spans="4:5" x14ac:dyDescent="0.2">
      <c r="D150" s="2"/>
      <c r="E150" s="2"/>
    </row>
    <row r="151" spans="4:5" x14ac:dyDescent="0.2">
      <c r="D151" s="2"/>
      <c r="E151" s="2"/>
    </row>
    <row r="152" spans="4:5" x14ac:dyDescent="0.2">
      <c r="D152" s="2"/>
      <c r="E152" s="2"/>
    </row>
    <row r="153" spans="4:5" x14ac:dyDescent="0.2">
      <c r="D153" s="2"/>
      <c r="E153" s="2"/>
    </row>
    <row r="154" spans="4:5" x14ac:dyDescent="0.2">
      <c r="D154" s="2"/>
      <c r="E154" s="2"/>
    </row>
    <row r="155" spans="4:5" x14ac:dyDescent="0.2">
      <c r="D155" s="2"/>
      <c r="E155" s="2"/>
    </row>
    <row r="156" spans="4:5" x14ac:dyDescent="0.2">
      <c r="D156" s="2"/>
      <c r="E156" s="2"/>
    </row>
    <row r="157" spans="4:5" x14ac:dyDescent="0.2">
      <c r="D157" s="2"/>
      <c r="E157" s="2"/>
    </row>
    <row r="158" spans="4:5" x14ac:dyDescent="0.2">
      <c r="D158" s="2"/>
      <c r="E158" s="2"/>
    </row>
    <row r="159" spans="4:5" x14ac:dyDescent="0.2">
      <c r="D159" s="2"/>
      <c r="E159" s="2"/>
    </row>
    <row r="160" spans="4:5" x14ac:dyDescent="0.2">
      <c r="D160" s="2"/>
      <c r="E160" s="2"/>
    </row>
    <row r="161" spans="4:5" x14ac:dyDescent="0.2">
      <c r="D161" s="2"/>
      <c r="E161" s="2"/>
    </row>
    <row r="162" spans="4:5" x14ac:dyDescent="0.2">
      <c r="D162" s="2"/>
      <c r="E162" s="2"/>
    </row>
    <row r="163" spans="4:5" x14ac:dyDescent="0.2">
      <c r="D163" s="2"/>
      <c r="E163" s="2"/>
    </row>
    <row r="164" spans="4:5" x14ac:dyDescent="0.2">
      <c r="D164" s="2"/>
      <c r="E164" s="2"/>
    </row>
    <row r="165" spans="4:5" x14ac:dyDescent="0.2">
      <c r="D165" s="2"/>
      <c r="E165" s="2"/>
    </row>
    <row r="166" spans="4:5" x14ac:dyDescent="0.2">
      <c r="D166" s="2"/>
      <c r="E166" s="2"/>
    </row>
    <row r="167" spans="4:5" x14ac:dyDescent="0.2">
      <c r="D167" s="2"/>
      <c r="E167" s="2"/>
    </row>
    <row r="168" spans="4:5" x14ac:dyDescent="0.2">
      <c r="D168" s="2"/>
      <c r="E168" s="2"/>
    </row>
    <row r="169" spans="4:5" x14ac:dyDescent="0.2">
      <c r="D169" s="2"/>
      <c r="E169" s="2"/>
    </row>
    <row r="170" spans="4:5" x14ac:dyDescent="0.2">
      <c r="D170" s="2"/>
      <c r="E170" s="2"/>
    </row>
    <row r="171" spans="4:5" x14ac:dyDescent="0.2">
      <c r="D171" s="2"/>
      <c r="E171" s="2"/>
    </row>
    <row r="172" spans="4:5" x14ac:dyDescent="0.2">
      <c r="D172" s="2"/>
      <c r="E172" s="2"/>
    </row>
    <row r="173" spans="4:5" x14ac:dyDescent="0.2">
      <c r="D173" s="2"/>
      <c r="E173" s="2"/>
    </row>
    <row r="174" spans="4:5" x14ac:dyDescent="0.2">
      <c r="D174" s="2"/>
      <c r="E174" s="2"/>
    </row>
    <row r="175" spans="4:5" x14ac:dyDescent="0.2">
      <c r="D175" s="2"/>
      <c r="E175" s="2"/>
    </row>
    <row r="176" spans="4:5" x14ac:dyDescent="0.2">
      <c r="D176" s="2"/>
      <c r="E176" s="2"/>
    </row>
    <row r="177" spans="4:5" x14ac:dyDescent="0.2">
      <c r="D177" s="2"/>
      <c r="E177" s="2"/>
    </row>
    <row r="178" spans="4:5" x14ac:dyDescent="0.2">
      <c r="D178" s="2"/>
      <c r="E178" s="2"/>
    </row>
    <row r="179" spans="4:5" x14ac:dyDescent="0.2">
      <c r="D179" s="2"/>
      <c r="E179" s="2"/>
    </row>
    <row r="180" spans="4:5" x14ac:dyDescent="0.2">
      <c r="D180" s="2"/>
      <c r="E180" s="2"/>
    </row>
    <row r="181" spans="4:5" x14ac:dyDescent="0.2">
      <c r="D181" s="2"/>
      <c r="E181" s="2"/>
    </row>
    <row r="182" spans="4:5" x14ac:dyDescent="0.2">
      <c r="D182" s="2"/>
      <c r="E182" s="2"/>
    </row>
    <row r="183" spans="4:5" x14ac:dyDescent="0.2">
      <c r="D183" s="2"/>
      <c r="E183" s="2"/>
    </row>
    <row r="184" spans="4:5" x14ac:dyDescent="0.2">
      <c r="D184" s="2"/>
      <c r="E184" s="2"/>
    </row>
    <row r="185" spans="4:5" x14ac:dyDescent="0.2">
      <c r="D185" s="2"/>
      <c r="E185" s="2"/>
    </row>
    <row r="186" spans="4:5" x14ac:dyDescent="0.2">
      <c r="D186" s="2"/>
      <c r="E186" s="2"/>
    </row>
    <row r="187" spans="4:5" x14ac:dyDescent="0.2">
      <c r="D187" s="2"/>
      <c r="E187" s="2"/>
    </row>
    <row r="188" spans="4:5" x14ac:dyDescent="0.2">
      <c r="D188" s="2"/>
      <c r="E188" s="2"/>
    </row>
    <row r="189" spans="4:5" x14ac:dyDescent="0.2">
      <c r="D189" s="2"/>
      <c r="E189" s="2"/>
    </row>
    <row r="190" spans="4:5" x14ac:dyDescent="0.2">
      <c r="D190" s="2"/>
      <c r="E190" s="2"/>
    </row>
    <row r="191" spans="4:5" x14ac:dyDescent="0.2">
      <c r="D191" s="2"/>
      <c r="E191" s="2"/>
    </row>
    <row r="192" spans="4:5" x14ac:dyDescent="0.2">
      <c r="D192" s="2"/>
      <c r="E192" s="2"/>
    </row>
    <row r="193" spans="4:5" x14ac:dyDescent="0.2">
      <c r="D193" s="2"/>
      <c r="E193" s="2"/>
    </row>
    <row r="194" spans="4:5" x14ac:dyDescent="0.2">
      <c r="D194" s="2"/>
      <c r="E194" s="2"/>
    </row>
    <row r="195" spans="4:5" x14ac:dyDescent="0.2">
      <c r="D195" s="2"/>
      <c r="E195" s="2"/>
    </row>
    <row r="196" spans="4:5" x14ac:dyDescent="0.2">
      <c r="D196" s="2"/>
      <c r="E196" s="2"/>
    </row>
    <row r="197" spans="4:5" x14ac:dyDescent="0.2">
      <c r="D197" s="2"/>
      <c r="E197" s="2"/>
    </row>
    <row r="198" spans="4:5" x14ac:dyDescent="0.2">
      <c r="D198" s="2"/>
      <c r="E198" s="2"/>
    </row>
    <row r="199" spans="4:5" x14ac:dyDescent="0.2">
      <c r="D199" s="2"/>
      <c r="E199" s="2"/>
    </row>
    <row r="200" spans="4:5" x14ac:dyDescent="0.2">
      <c r="D200" s="2"/>
      <c r="E200" s="2"/>
    </row>
    <row r="201" spans="4:5" x14ac:dyDescent="0.2">
      <c r="D201" s="2"/>
      <c r="E201" s="2"/>
    </row>
    <row r="202" spans="4:5" x14ac:dyDescent="0.2">
      <c r="D202" s="2"/>
      <c r="E202" s="2"/>
    </row>
    <row r="203" spans="4:5" x14ac:dyDescent="0.2">
      <c r="D203" s="2"/>
      <c r="E203" s="2"/>
    </row>
    <row r="204" spans="4:5" x14ac:dyDescent="0.2">
      <c r="D204" s="2"/>
      <c r="E204" s="2"/>
    </row>
    <row r="205" spans="4:5" x14ac:dyDescent="0.2">
      <c r="D205" s="2"/>
      <c r="E205" s="2"/>
    </row>
    <row r="206" spans="4:5" x14ac:dyDescent="0.2">
      <c r="D206" s="2"/>
      <c r="E206" s="2"/>
    </row>
    <row r="207" spans="4:5" x14ac:dyDescent="0.2">
      <c r="D207" s="2"/>
      <c r="E207" s="2"/>
    </row>
    <row r="208" spans="4:5" x14ac:dyDescent="0.2">
      <c r="D208" s="2"/>
      <c r="E208" s="2"/>
    </row>
    <row r="209" spans="4:5" x14ac:dyDescent="0.2">
      <c r="D209" s="2"/>
      <c r="E209" s="2"/>
    </row>
    <row r="210" spans="4:5" x14ac:dyDescent="0.2">
      <c r="D210" s="2"/>
      <c r="E210" s="2"/>
    </row>
    <row r="211" spans="4:5" x14ac:dyDescent="0.2">
      <c r="D211" s="2"/>
      <c r="E211" s="2"/>
    </row>
    <row r="212" spans="4:5" x14ac:dyDescent="0.2">
      <c r="D212" s="2"/>
      <c r="E212" s="2"/>
    </row>
    <row r="213" spans="4:5" x14ac:dyDescent="0.2">
      <c r="D213" s="2"/>
      <c r="E213" s="2"/>
    </row>
    <row r="214" spans="4:5" x14ac:dyDescent="0.2">
      <c r="D214" s="2"/>
      <c r="E214" s="2"/>
    </row>
    <row r="215" spans="4:5" x14ac:dyDescent="0.2">
      <c r="D215" s="2"/>
      <c r="E215" s="2"/>
    </row>
    <row r="216" spans="4:5" x14ac:dyDescent="0.2">
      <c r="D216" s="2"/>
      <c r="E216" s="2"/>
    </row>
    <row r="217" spans="4:5" x14ac:dyDescent="0.2">
      <c r="D217" s="2"/>
      <c r="E217" s="2"/>
    </row>
    <row r="218" spans="4:5" x14ac:dyDescent="0.2">
      <c r="D218" s="2"/>
      <c r="E218" s="2"/>
    </row>
    <row r="219" spans="4:5" x14ac:dyDescent="0.2">
      <c r="D219" s="2"/>
      <c r="E219" s="2"/>
    </row>
    <row r="220" spans="4:5" x14ac:dyDescent="0.2">
      <c r="D220" s="2"/>
      <c r="E220" s="2"/>
    </row>
    <row r="221" spans="4:5" x14ac:dyDescent="0.2">
      <c r="D221" s="2"/>
      <c r="E221" s="2"/>
    </row>
    <row r="222" spans="4:5" x14ac:dyDescent="0.2">
      <c r="D222" s="2"/>
      <c r="E222" s="2"/>
    </row>
    <row r="223" spans="4:5" x14ac:dyDescent="0.2">
      <c r="D223" s="2"/>
      <c r="E223" s="2"/>
    </row>
    <row r="224" spans="4:5" x14ac:dyDescent="0.2">
      <c r="D224" s="2"/>
      <c r="E224" s="2"/>
    </row>
    <row r="225" spans="4:5" x14ac:dyDescent="0.2">
      <c r="D225" s="2"/>
      <c r="E225" s="2"/>
    </row>
    <row r="226" spans="4:5" x14ac:dyDescent="0.2">
      <c r="D226" s="2"/>
      <c r="E226" s="2"/>
    </row>
    <row r="227" spans="4:5" x14ac:dyDescent="0.2">
      <c r="D227" s="2"/>
      <c r="E227" s="2"/>
    </row>
    <row r="228" spans="4:5" x14ac:dyDescent="0.2">
      <c r="D228" s="2"/>
      <c r="E228" s="2"/>
    </row>
    <row r="229" spans="4:5" x14ac:dyDescent="0.2">
      <c r="D229" s="2"/>
      <c r="E229" s="2"/>
    </row>
    <row r="230" spans="4:5" x14ac:dyDescent="0.2">
      <c r="D230" s="2"/>
      <c r="E230" s="2"/>
    </row>
    <row r="231" spans="4:5" x14ac:dyDescent="0.2">
      <c r="D231" s="2"/>
      <c r="E231" s="2"/>
    </row>
    <row r="232" spans="4:5" x14ac:dyDescent="0.2">
      <c r="D232" s="2"/>
      <c r="E232" s="2"/>
    </row>
    <row r="233" spans="4:5" x14ac:dyDescent="0.2">
      <c r="D233" s="2"/>
      <c r="E233" s="2"/>
    </row>
    <row r="234" spans="4:5" x14ac:dyDescent="0.2">
      <c r="D234" s="2"/>
      <c r="E234" s="2"/>
    </row>
    <row r="235" spans="4:5" x14ac:dyDescent="0.2">
      <c r="D235" s="2"/>
      <c r="E235" s="2"/>
    </row>
    <row r="236" spans="4:5" x14ac:dyDescent="0.2">
      <c r="D236" s="2"/>
      <c r="E236" s="2"/>
    </row>
    <row r="237" spans="4:5" x14ac:dyDescent="0.2">
      <c r="D237" s="2"/>
      <c r="E237" s="2"/>
    </row>
    <row r="238" spans="4:5" x14ac:dyDescent="0.2">
      <c r="D238" s="2"/>
      <c r="E238" s="2"/>
    </row>
    <row r="239" spans="4:5" x14ac:dyDescent="0.2">
      <c r="D239" s="2"/>
      <c r="E239" s="2"/>
    </row>
    <row r="240" spans="4:5" x14ac:dyDescent="0.2">
      <c r="D240" s="2"/>
      <c r="E240" s="2"/>
    </row>
    <row r="241" spans="4:5" x14ac:dyDescent="0.2">
      <c r="D241" s="2"/>
      <c r="E241" s="2"/>
    </row>
    <row r="242" spans="4:5" x14ac:dyDescent="0.2">
      <c r="D242" s="2"/>
      <c r="E242" s="2"/>
    </row>
    <row r="243" spans="4:5" x14ac:dyDescent="0.2">
      <c r="D243" s="2"/>
      <c r="E243" s="2"/>
    </row>
    <row r="244" spans="4:5" x14ac:dyDescent="0.2">
      <c r="D244" s="2"/>
      <c r="E244" s="2"/>
    </row>
    <row r="245" spans="4:5" x14ac:dyDescent="0.2">
      <c r="D245" s="2"/>
      <c r="E245" s="2"/>
    </row>
    <row r="246" spans="4:5" x14ac:dyDescent="0.2">
      <c r="D246" s="2"/>
      <c r="E246" s="2"/>
    </row>
    <row r="247" spans="4:5" x14ac:dyDescent="0.2">
      <c r="D247" s="2"/>
      <c r="E247" s="2"/>
    </row>
    <row r="248" spans="4:5" x14ac:dyDescent="0.2">
      <c r="D248" s="2"/>
      <c r="E248" s="2"/>
    </row>
    <row r="249" spans="4:5" x14ac:dyDescent="0.2">
      <c r="D249" s="2"/>
      <c r="E249" s="2"/>
    </row>
    <row r="250" spans="4:5" x14ac:dyDescent="0.2">
      <c r="D250" s="2"/>
      <c r="E250" s="2"/>
    </row>
    <row r="251" spans="4:5" x14ac:dyDescent="0.2">
      <c r="D251" s="2"/>
      <c r="E251" s="2"/>
    </row>
    <row r="252" spans="4:5" x14ac:dyDescent="0.2">
      <c r="D252" s="2"/>
      <c r="E252" s="2"/>
    </row>
    <row r="253" spans="4:5" x14ac:dyDescent="0.2">
      <c r="D253" s="2"/>
      <c r="E253" s="2"/>
    </row>
    <row r="254" spans="4:5" x14ac:dyDescent="0.2">
      <c r="D254" s="2"/>
      <c r="E254" s="2"/>
    </row>
    <row r="255" spans="4:5" x14ac:dyDescent="0.2">
      <c r="D255" s="2"/>
      <c r="E255" s="2"/>
    </row>
    <row r="256" spans="4:5" x14ac:dyDescent="0.2">
      <c r="D256" s="2"/>
      <c r="E256" s="2"/>
    </row>
    <row r="257" spans="4:5" x14ac:dyDescent="0.2">
      <c r="D257" s="2"/>
      <c r="E257" s="2"/>
    </row>
    <row r="258" spans="4:5" x14ac:dyDescent="0.2">
      <c r="D258" s="2"/>
      <c r="E258" s="2"/>
    </row>
    <row r="259" spans="4:5" x14ac:dyDescent="0.2">
      <c r="D259" s="2"/>
      <c r="E259" s="2"/>
    </row>
    <row r="260" spans="4:5" x14ac:dyDescent="0.2">
      <c r="D260" s="2"/>
      <c r="E260" s="2"/>
    </row>
    <row r="261" spans="4:5" x14ac:dyDescent="0.2">
      <c r="D261" s="2"/>
      <c r="E261" s="2"/>
    </row>
    <row r="262" spans="4:5" x14ac:dyDescent="0.2">
      <c r="D262" s="2"/>
      <c r="E262" s="2"/>
    </row>
    <row r="263" spans="4:5" x14ac:dyDescent="0.2">
      <c r="D263" s="2"/>
      <c r="E263" s="2"/>
    </row>
    <row r="264" spans="4:5" x14ac:dyDescent="0.2">
      <c r="D264" s="2"/>
      <c r="E264" s="2"/>
    </row>
    <row r="265" spans="4:5" x14ac:dyDescent="0.2">
      <c r="D265" s="2"/>
      <c r="E265" s="2"/>
    </row>
    <row r="266" spans="4:5" x14ac:dyDescent="0.2">
      <c r="D266" s="2"/>
      <c r="E266" s="2"/>
    </row>
    <row r="267" spans="4:5" x14ac:dyDescent="0.2">
      <c r="D267" s="2"/>
      <c r="E267" s="2"/>
    </row>
    <row r="268" spans="4:5" x14ac:dyDescent="0.2">
      <c r="D268" s="2"/>
      <c r="E268" s="2"/>
    </row>
    <row r="269" spans="4:5" x14ac:dyDescent="0.2">
      <c r="D269" s="2"/>
      <c r="E269" s="2"/>
    </row>
    <row r="270" spans="4:5" x14ac:dyDescent="0.2">
      <c r="D270" s="2"/>
      <c r="E270" s="2"/>
    </row>
    <row r="271" spans="4:5" x14ac:dyDescent="0.2">
      <c r="D271" s="2"/>
      <c r="E271" s="2"/>
    </row>
    <row r="272" spans="4:5" x14ac:dyDescent="0.2">
      <c r="D272" s="2"/>
      <c r="E272" s="2"/>
    </row>
    <row r="273" spans="4:5" x14ac:dyDescent="0.2">
      <c r="D273" s="2"/>
      <c r="E273" s="2"/>
    </row>
    <row r="274" spans="4:5" x14ac:dyDescent="0.2">
      <c r="D274" s="2"/>
      <c r="E274" s="2"/>
    </row>
    <row r="275" spans="4:5" x14ac:dyDescent="0.2">
      <c r="D275" s="2"/>
      <c r="E275" s="2"/>
    </row>
    <row r="276" spans="4:5" x14ac:dyDescent="0.2">
      <c r="D276" s="2"/>
      <c r="E276" s="2"/>
    </row>
    <row r="277" spans="4:5" x14ac:dyDescent="0.2">
      <c r="D277" s="2"/>
      <c r="E277" s="2"/>
    </row>
    <row r="278" spans="4:5" x14ac:dyDescent="0.2">
      <c r="D278" s="2"/>
      <c r="E278" s="2"/>
    </row>
    <row r="279" spans="4:5" x14ac:dyDescent="0.2">
      <c r="D279" s="2"/>
      <c r="E279" s="2"/>
    </row>
    <row r="280" spans="4:5" x14ac:dyDescent="0.2">
      <c r="D280" s="2"/>
      <c r="E280" s="2"/>
    </row>
    <row r="281" spans="4:5" x14ac:dyDescent="0.2">
      <c r="D281" s="2"/>
      <c r="E281" s="2"/>
    </row>
    <row r="282" spans="4:5" x14ac:dyDescent="0.2">
      <c r="D282" s="2"/>
      <c r="E282" s="2"/>
    </row>
    <row r="283" spans="4:5" x14ac:dyDescent="0.2">
      <c r="D283" s="2"/>
      <c r="E283" s="2"/>
    </row>
    <row r="284" spans="4:5" x14ac:dyDescent="0.2">
      <c r="D284" s="2"/>
      <c r="E284" s="2"/>
    </row>
    <row r="285" spans="4:5" x14ac:dyDescent="0.2">
      <c r="D285" s="2"/>
      <c r="E285" s="2"/>
    </row>
    <row r="286" spans="4:5" x14ac:dyDescent="0.2">
      <c r="D286" s="2"/>
      <c r="E286" s="2"/>
    </row>
    <row r="287" spans="4:5" x14ac:dyDescent="0.2">
      <c r="D287" s="2"/>
      <c r="E287" s="2"/>
    </row>
    <row r="288" spans="4:5" x14ac:dyDescent="0.2">
      <c r="D288" s="2"/>
      <c r="E288" s="2"/>
    </row>
    <row r="289" spans="4:5" x14ac:dyDescent="0.2">
      <c r="D289" s="2"/>
      <c r="E289" s="2"/>
    </row>
    <row r="290" spans="4:5" x14ac:dyDescent="0.2">
      <c r="D290" s="2"/>
      <c r="E290" s="2"/>
    </row>
    <row r="291" spans="4:5" x14ac:dyDescent="0.2">
      <c r="D291" s="2"/>
      <c r="E291" s="2"/>
    </row>
    <row r="292" spans="4:5" x14ac:dyDescent="0.2">
      <c r="D292" s="2"/>
      <c r="E292" s="2"/>
    </row>
    <row r="293" spans="4:5" x14ac:dyDescent="0.2">
      <c r="D293" s="2"/>
      <c r="E293" s="2"/>
    </row>
    <row r="294" spans="4:5" x14ac:dyDescent="0.2">
      <c r="D294" s="2"/>
      <c r="E294" s="2"/>
    </row>
    <row r="295" spans="4:5" x14ac:dyDescent="0.2">
      <c r="D295" s="2"/>
      <c r="E295" s="2"/>
    </row>
    <row r="296" spans="4:5" x14ac:dyDescent="0.2">
      <c r="D296" s="2"/>
      <c r="E296" s="2"/>
    </row>
    <row r="297" spans="4:5" x14ac:dyDescent="0.2">
      <c r="D297" s="2"/>
      <c r="E297" s="2"/>
    </row>
    <row r="298" spans="4:5" x14ac:dyDescent="0.2">
      <c r="D298" s="2"/>
      <c r="E298" s="2"/>
    </row>
    <row r="299" spans="4:5" x14ac:dyDescent="0.2">
      <c r="D299" s="2"/>
      <c r="E299" s="2"/>
    </row>
    <row r="300" spans="4:5" x14ac:dyDescent="0.2">
      <c r="D300" s="2"/>
      <c r="E300" s="2"/>
    </row>
    <row r="301" spans="4:5" x14ac:dyDescent="0.2">
      <c r="D301" s="2"/>
      <c r="E301" s="2"/>
    </row>
    <row r="302" spans="4:5" x14ac:dyDescent="0.2">
      <c r="D302" s="2"/>
      <c r="E302" s="2"/>
    </row>
    <row r="303" spans="4:5" x14ac:dyDescent="0.2">
      <c r="D303" s="2"/>
      <c r="E303" s="2"/>
    </row>
    <row r="304" spans="4:5" x14ac:dyDescent="0.2">
      <c r="D304" s="2"/>
      <c r="E304" s="2"/>
    </row>
    <row r="305" spans="4:5" x14ac:dyDescent="0.2">
      <c r="D305" s="2"/>
      <c r="E305" s="2"/>
    </row>
    <row r="306" spans="4:5" x14ac:dyDescent="0.2">
      <c r="D306" s="2"/>
      <c r="E306" s="2"/>
    </row>
    <row r="307" spans="4:5" x14ac:dyDescent="0.2">
      <c r="D307" s="2"/>
      <c r="E307" s="2"/>
    </row>
    <row r="308" spans="4:5" x14ac:dyDescent="0.2">
      <c r="D308" s="2"/>
      <c r="E308" s="2"/>
    </row>
    <row r="309" spans="4:5" x14ac:dyDescent="0.2">
      <c r="D309" s="2"/>
      <c r="E309" s="2"/>
    </row>
    <row r="310" spans="4:5" x14ac:dyDescent="0.2">
      <c r="D310" s="2"/>
      <c r="E310" s="2"/>
    </row>
    <row r="311" spans="4:5" x14ac:dyDescent="0.2">
      <c r="D311" s="2"/>
      <c r="E311" s="2"/>
    </row>
    <row r="312" spans="4:5" x14ac:dyDescent="0.2">
      <c r="D312" s="2"/>
      <c r="E312" s="2"/>
    </row>
    <row r="313" spans="4:5" x14ac:dyDescent="0.2">
      <c r="D313" s="2"/>
      <c r="E313" s="2"/>
    </row>
    <row r="314" spans="4:5" x14ac:dyDescent="0.2">
      <c r="D314" s="2"/>
      <c r="E314" s="2"/>
    </row>
    <row r="315" spans="4:5" x14ac:dyDescent="0.2">
      <c r="D315" s="2"/>
      <c r="E315" s="2"/>
    </row>
    <row r="316" spans="4:5" x14ac:dyDescent="0.2">
      <c r="D316" s="2"/>
      <c r="E316" s="2"/>
    </row>
    <row r="317" spans="4:5" x14ac:dyDescent="0.2">
      <c r="D317" s="2"/>
      <c r="E317" s="2"/>
    </row>
    <row r="318" spans="4:5" x14ac:dyDescent="0.2">
      <c r="D318" s="2"/>
      <c r="E318" s="2"/>
    </row>
    <row r="319" spans="4:5" x14ac:dyDescent="0.2">
      <c r="D319" s="2"/>
      <c r="E319" s="2"/>
    </row>
    <row r="320" spans="4:5" x14ac:dyDescent="0.2">
      <c r="D320" s="2"/>
      <c r="E320" s="2"/>
    </row>
    <row r="321" spans="4:5" x14ac:dyDescent="0.2">
      <c r="D321" s="2"/>
      <c r="E321" s="2"/>
    </row>
    <row r="322" spans="4:5" x14ac:dyDescent="0.2">
      <c r="D322" s="2"/>
      <c r="E322" s="2"/>
    </row>
    <row r="323" spans="4:5" x14ac:dyDescent="0.2">
      <c r="D323" s="2"/>
      <c r="E323" s="2"/>
    </row>
    <row r="324" spans="4:5" x14ac:dyDescent="0.2">
      <c r="D324" s="2"/>
      <c r="E324" s="2"/>
    </row>
    <row r="325" spans="4:5" x14ac:dyDescent="0.2">
      <c r="D325" s="2"/>
      <c r="E325" s="2"/>
    </row>
    <row r="326" spans="4:5" x14ac:dyDescent="0.2">
      <c r="D326" s="2"/>
      <c r="E326" s="2"/>
    </row>
    <row r="327" spans="4:5" x14ac:dyDescent="0.2">
      <c r="D327" s="2"/>
      <c r="E327" s="2"/>
    </row>
    <row r="328" spans="4:5" x14ac:dyDescent="0.2">
      <c r="D328" s="2"/>
      <c r="E328" s="2"/>
    </row>
    <row r="329" spans="4:5" x14ac:dyDescent="0.2">
      <c r="D329" s="2"/>
      <c r="E329" s="2"/>
    </row>
    <row r="330" spans="4:5" x14ac:dyDescent="0.2">
      <c r="D330" s="2"/>
      <c r="E330" s="2"/>
    </row>
    <row r="331" spans="4:5" x14ac:dyDescent="0.2">
      <c r="D331" s="2"/>
      <c r="E331" s="2"/>
    </row>
    <row r="332" spans="4:5" x14ac:dyDescent="0.2">
      <c r="D332" s="2"/>
      <c r="E332" s="2"/>
    </row>
    <row r="333" spans="4:5" x14ac:dyDescent="0.2">
      <c r="D333" s="2"/>
      <c r="E333" s="2"/>
    </row>
    <row r="334" spans="4:5" x14ac:dyDescent="0.2">
      <c r="D334" s="2"/>
      <c r="E334" s="2"/>
    </row>
    <row r="335" spans="4:5" x14ac:dyDescent="0.2">
      <c r="D335" s="2"/>
      <c r="E335" s="2"/>
    </row>
    <row r="336" spans="4:5" x14ac:dyDescent="0.2">
      <c r="D336" s="2"/>
      <c r="E336" s="2"/>
    </row>
    <row r="337" spans="4:5" x14ac:dyDescent="0.2">
      <c r="D337" s="2"/>
      <c r="E337" s="2"/>
    </row>
    <row r="338" spans="4:5" x14ac:dyDescent="0.2">
      <c r="D338" s="2"/>
      <c r="E338" s="2"/>
    </row>
    <row r="339" spans="4:5" x14ac:dyDescent="0.2">
      <c r="D339" s="2"/>
      <c r="E339" s="2"/>
    </row>
    <row r="340" spans="4:5" x14ac:dyDescent="0.2">
      <c r="D340" s="2"/>
      <c r="E340" s="2"/>
    </row>
    <row r="341" spans="4:5" x14ac:dyDescent="0.2">
      <c r="D341" s="2"/>
      <c r="E341" s="2"/>
    </row>
    <row r="342" spans="4:5" x14ac:dyDescent="0.2">
      <c r="D342" s="2"/>
      <c r="E342" s="2"/>
    </row>
    <row r="343" spans="4:5" x14ac:dyDescent="0.2">
      <c r="D343" s="2"/>
      <c r="E343" s="2"/>
    </row>
    <row r="344" spans="4:5" x14ac:dyDescent="0.2">
      <c r="D344" s="2"/>
      <c r="E344" s="2"/>
    </row>
    <row r="345" spans="4:5" x14ac:dyDescent="0.2">
      <c r="D345" s="2"/>
      <c r="E345" s="2"/>
    </row>
    <row r="346" spans="4:5" x14ac:dyDescent="0.2">
      <c r="D346" s="2"/>
      <c r="E346" s="2"/>
    </row>
    <row r="347" spans="4:5" x14ac:dyDescent="0.2">
      <c r="D347" s="2"/>
      <c r="E347" s="2"/>
    </row>
    <row r="348" spans="4:5" x14ac:dyDescent="0.2">
      <c r="D348" s="2"/>
      <c r="E348" s="2"/>
    </row>
    <row r="349" spans="4:5" x14ac:dyDescent="0.2">
      <c r="D349" s="2"/>
      <c r="E349" s="2"/>
    </row>
    <row r="350" spans="4:5" x14ac:dyDescent="0.2">
      <c r="D350" s="2"/>
      <c r="E350" s="2"/>
    </row>
    <row r="351" spans="4:5" x14ac:dyDescent="0.2">
      <c r="D351" s="2"/>
      <c r="E351" s="2"/>
    </row>
    <row r="352" spans="4:5" x14ac:dyDescent="0.2">
      <c r="D352" s="2"/>
      <c r="E352" s="2"/>
    </row>
    <row r="353" spans="4:5" x14ac:dyDescent="0.2">
      <c r="D353" s="2"/>
      <c r="E353" s="2"/>
    </row>
    <row r="354" spans="4:5" x14ac:dyDescent="0.2">
      <c r="D354" s="2"/>
      <c r="E354" s="2"/>
    </row>
    <row r="355" spans="4:5" x14ac:dyDescent="0.2">
      <c r="D355" s="2"/>
      <c r="E355" s="2"/>
    </row>
    <row r="356" spans="4:5" x14ac:dyDescent="0.2">
      <c r="D356" s="2"/>
      <c r="E356" s="2"/>
    </row>
    <row r="357" spans="4:5" x14ac:dyDescent="0.2">
      <c r="D357" s="2"/>
      <c r="E357" s="2"/>
    </row>
    <row r="358" spans="4:5" x14ac:dyDescent="0.2">
      <c r="D358" s="2"/>
      <c r="E358" s="2"/>
    </row>
    <row r="359" spans="4:5" x14ac:dyDescent="0.2">
      <c r="D359" s="2"/>
      <c r="E359" s="2"/>
    </row>
    <row r="360" spans="4:5" x14ac:dyDescent="0.2">
      <c r="D360" s="2"/>
      <c r="E360" s="2"/>
    </row>
    <row r="361" spans="4:5" x14ac:dyDescent="0.2">
      <c r="D361" s="2"/>
      <c r="E361" s="2"/>
    </row>
    <row r="362" spans="4:5" x14ac:dyDescent="0.2">
      <c r="D362" s="2"/>
      <c r="E362" s="2"/>
    </row>
    <row r="363" spans="4:5" x14ac:dyDescent="0.2">
      <c r="D363" s="2"/>
      <c r="E363" s="2"/>
    </row>
    <row r="364" spans="4:5" x14ac:dyDescent="0.2">
      <c r="D364" s="2"/>
      <c r="E364" s="2"/>
    </row>
    <row r="365" spans="4:5" x14ac:dyDescent="0.2">
      <c r="D365" s="2"/>
      <c r="E365" s="2"/>
    </row>
    <row r="366" spans="4:5" x14ac:dyDescent="0.2">
      <c r="D366" s="2"/>
      <c r="E366" s="2"/>
    </row>
    <row r="367" spans="4:5" x14ac:dyDescent="0.2">
      <c r="D367" s="2"/>
      <c r="E367" s="2"/>
    </row>
    <row r="368" spans="4:5" x14ac:dyDescent="0.2">
      <c r="D368" s="2"/>
      <c r="E368" s="2"/>
    </row>
    <row r="369" spans="4:5" x14ac:dyDescent="0.2">
      <c r="D369" s="2"/>
      <c r="E369" s="2"/>
    </row>
    <row r="370" spans="4:5" x14ac:dyDescent="0.2">
      <c r="D370" s="2"/>
      <c r="E370" s="2"/>
    </row>
    <row r="371" spans="4:5" x14ac:dyDescent="0.2">
      <c r="D371" s="2"/>
      <c r="E371" s="2"/>
    </row>
    <row r="372" spans="4:5" x14ac:dyDescent="0.2">
      <c r="D372" s="2"/>
      <c r="E372" s="2"/>
    </row>
    <row r="373" spans="4:5" x14ac:dyDescent="0.2">
      <c r="D373" s="2"/>
      <c r="E373" s="2"/>
    </row>
    <row r="374" spans="4:5" x14ac:dyDescent="0.2">
      <c r="D374" s="2"/>
      <c r="E374" s="2"/>
    </row>
    <row r="375" spans="4:5" x14ac:dyDescent="0.2">
      <c r="D375" s="2"/>
      <c r="E375" s="2"/>
    </row>
    <row r="376" spans="4:5" x14ac:dyDescent="0.2">
      <c r="D376" s="2"/>
      <c r="E376" s="2"/>
    </row>
    <row r="377" spans="4:5" x14ac:dyDescent="0.2">
      <c r="D377" s="2"/>
      <c r="E377" s="2"/>
    </row>
    <row r="378" spans="4:5" x14ac:dyDescent="0.2">
      <c r="D378" s="2"/>
      <c r="E378" s="2"/>
    </row>
    <row r="379" spans="4:5" x14ac:dyDescent="0.2">
      <c r="D379" s="2"/>
      <c r="E379" s="2"/>
    </row>
    <row r="380" spans="4:5" x14ac:dyDescent="0.2">
      <c r="D380" s="2"/>
      <c r="E380" s="2"/>
    </row>
    <row r="381" spans="4:5" x14ac:dyDescent="0.2">
      <c r="D381" s="2"/>
      <c r="E381" s="2"/>
    </row>
    <row r="382" spans="4:5" x14ac:dyDescent="0.2">
      <c r="D382" s="2"/>
      <c r="E382" s="2"/>
    </row>
    <row r="383" spans="4:5" x14ac:dyDescent="0.2">
      <c r="D383" s="2"/>
      <c r="E383" s="2"/>
    </row>
    <row r="384" spans="4:5" x14ac:dyDescent="0.2">
      <c r="D384" s="2"/>
      <c r="E384" s="2"/>
    </row>
    <row r="385" spans="4:5" x14ac:dyDescent="0.2">
      <c r="D385" s="2"/>
      <c r="E385" s="2"/>
    </row>
    <row r="386" spans="4:5" x14ac:dyDescent="0.2">
      <c r="D386" s="2"/>
      <c r="E386" s="2"/>
    </row>
    <row r="387" spans="4:5" x14ac:dyDescent="0.2">
      <c r="D387" s="2"/>
      <c r="E387" s="2"/>
    </row>
    <row r="388" spans="4:5" x14ac:dyDescent="0.2">
      <c r="D388" s="2"/>
      <c r="E388" s="2"/>
    </row>
    <row r="389" spans="4:5" x14ac:dyDescent="0.2">
      <c r="D389" s="2"/>
      <c r="E389" s="2"/>
    </row>
    <row r="390" spans="4:5" x14ac:dyDescent="0.2">
      <c r="D390" s="2"/>
      <c r="E390" s="2"/>
    </row>
    <row r="391" spans="4:5" x14ac:dyDescent="0.2">
      <c r="D391" s="2"/>
      <c r="E391" s="2"/>
    </row>
    <row r="392" spans="4:5" x14ac:dyDescent="0.2">
      <c r="D392" s="2"/>
      <c r="E392" s="2"/>
    </row>
    <row r="393" spans="4:5" x14ac:dyDescent="0.2">
      <c r="D393" s="2"/>
      <c r="E393" s="2"/>
    </row>
    <row r="394" spans="4:5" x14ac:dyDescent="0.2">
      <c r="D394" s="2"/>
      <c r="E394" s="2"/>
    </row>
    <row r="395" spans="4:5" x14ac:dyDescent="0.2">
      <c r="D395" s="2"/>
      <c r="E395" s="2"/>
    </row>
    <row r="396" spans="4:5" x14ac:dyDescent="0.2">
      <c r="D396" s="2"/>
      <c r="E396" s="2"/>
    </row>
    <row r="397" spans="4:5" x14ac:dyDescent="0.2">
      <c r="D397" s="2"/>
      <c r="E397" s="2"/>
    </row>
    <row r="398" spans="4:5" x14ac:dyDescent="0.2">
      <c r="D398" s="2"/>
      <c r="E398" s="2"/>
    </row>
    <row r="399" spans="4:5" x14ac:dyDescent="0.2">
      <c r="D399" s="2"/>
      <c r="E399" s="2"/>
    </row>
    <row r="400" spans="4:5" x14ac:dyDescent="0.2">
      <c r="D400" s="2"/>
      <c r="E400" s="2"/>
    </row>
    <row r="401" spans="4:5" x14ac:dyDescent="0.2">
      <c r="D401" s="2"/>
      <c r="E401" s="2"/>
    </row>
    <row r="402" spans="4:5" x14ac:dyDescent="0.2">
      <c r="D402" s="2"/>
      <c r="E402" s="2"/>
    </row>
    <row r="403" spans="4:5" x14ac:dyDescent="0.2">
      <c r="D403" s="2"/>
      <c r="E403" s="2"/>
    </row>
    <row r="404" spans="4:5" x14ac:dyDescent="0.2">
      <c r="D404" s="2"/>
      <c r="E404" s="2"/>
    </row>
    <row r="405" spans="4:5" x14ac:dyDescent="0.2">
      <c r="D405" s="2"/>
      <c r="E405" s="2"/>
    </row>
    <row r="406" spans="4:5" x14ac:dyDescent="0.2">
      <c r="D406" s="2"/>
      <c r="E406" s="2"/>
    </row>
    <row r="407" spans="4:5" x14ac:dyDescent="0.2">
      <c r="D407" s="2"/>
      <c r="E407" s="2"/>
    </row>
    <row r="408" spans="4:5" x14ac:dyDescent="0.2">
      <c r="D408" s="2"/>
      <c r="E408" s="2"/>
    </row>
    <row r="409" spans="4:5" x14ac:dyDescent="0.2">
      <c r="D409" s="2"/>
      <c r="E409" s="2"/>
    </row>
    <row r="410" spans="4:5" x14ac:dyDescent="0.2">
      <c r="D410" s="2"/>
      <c r="E410" s="2"/>
    </row>
    <row r="411" spans="4:5" x14ac:dyDescent="0.2">
      <c r="D411" s="2"/>
      <c r="E411" s="2"/>
    </row>
    <row r="412" spans="4:5" x14ac:dyDescent="0.2">
      <c r="D412" s="2"/>
      <c r="E412" s="2"/>
    </row>
    <row r="413" spans="4:5" x14ac:dyDescent="0.2">
      <c r="D413" s="2"/>
      <c r="E413" s="2"/>
    </row>
    <row r="414" spans="4:5" x14ac:dyDescent="0.2">
      <c r="D414" s="2"/>
      <c r="E414" s="2"/>
    </row>
    <row r="415" spans="4:5" x14ac:dyDescent="0.2">
      <c r="D415" s="2"/>
      <c r="E415" s="2"/>
    </row>
    <row r="416" spans="4:5" x14ac:dyDescent="0.2">
      <c r="D416" s="2"/>
      <c r="E416" s="2"/>
    </row>
    <row r="417" spans="4:5" x14ac:dyDescent="0.2">
      <c r="D417" s="2"/>
      <c r="E417" s="2"/>
    </row>
    <row r="418" spans="4:5" x14ac:dyDescent="0.2">
      <c r="D418" s="2"/>
      <c r="E418" s="2"/>
    </row>
    <row r="419" spans="4:5" x14ac:dyDescent="0.2">
      <c r="D419" s="2"/>
      <c r="E419" s="2"/>
    </row>
    <row r="420" spans="4:5" x14ac:dyDescent="0.2">
      <c r="D420" s="2"/>
      <c r="E420" s="2"/>
    </row>
    <row r="421" spans="4:5" x14ac:dyDescent="0.2">
      <c r="D421" s="2"/>
      <c r="E421" s="2"/>
    </row>
    <row r="422" spans="4:5" x14ac:dyDescent="0.2">
      <c r="D422" s="2"/>
      <c r="E422" s="2"/>
    </row>
    <row r="423" spans="4:5" x14ac:dyDescent="0.2">
      <c r="D423" s="2"/>
      <c r="E423" s="2"/>
    </row>
    <row r="424" spans="4:5" x14ac:dyDescent="0.2">
      <c r="D424" s="2"/>
      <c r="E424" s="2"/>
    </row>
    <row r="425" spans="4:5" x14ac:dyDescent="0.2">
      <c r="D425" s="2"/>
      <c r="E425" s="2"/>
    </row>
    <row r="426" spans="4:5" x14ac:dyDescent="0.2">
      <c r="D426" s="2"/>
      <c r="E426" s="2"/>
    </row>
    <row r="427" spans="4:5" x14ac:dyDescent="0.2">
      <c r="D427" s="2"/>
      <c r="E427" s="2"/>
    </row>
    <row r="428" spans="4:5" x14ac:dyDescent="0.2">
      <c r="D428" s="2"/>
      <c r="E428" s="2"/>
    </row>
    <row r="429" spans="4:5" x14ac:dyDescent="0.2">
      <c r="D429" s="2"/>
      <c r="E429" s="2"/>
    </row>
    <row r="430" spans="4:5" x14ac:dyDescent="0.2">
      <c r="D430" s="2"/>
      <c r="E430" s="2"/>
    </row>
    <row r="431" spans="4:5" x14ac:dyDescent="0.2">
      <c r="D431" s="2"/>
      <c r="E431" s="2"/>
    </row>
    <row r="432" spans="4:5" x14ac:dyDescent="0.2">
      <c r="D432" s="2"/>
      <c r="E432" s="2"/>
    </row>
    <row r="433" spans="4:5" x14ac:dyDescent="0.2">
      <c r="D433" s="2"/>
      <c r="E433" s="2"/>
    </row>
    <row r="434" spans="4:5" x14ac:dyDescent="0.2">
      <c r="D434" s="2"/>
      <c r="E434" s="2"/>
    </row>
    <row r="435" spans="4:5" x14ac:dyDescent="0.2">
      <c r="D435" s="2"/>
      <c r="E435" s="2"/>
    </row>
    <row r="436" spans="4:5" x14ac:dyDescent="0.2">
      <c r="D436" s="2"/>
      <c r="E436" s="2"/>
    </row>
    <row r="437" spans="4:5" x14ac:dyDescent="0.2">
      <c r="D437" s="2"/>
      <c r="E437" s="2"/>
    </row>
    <row r="438" spans="4:5" x14ac:dyDescent="0.2">
      <c r="D438" s="2"/>
      <c r="E438" s="2"/>
    </row>
    <row r="439" spans="4:5" x14ac:dyDescent="0.2">
      <c r="D439" s="2"/>
      <c r="E439" s="2"/>
    </row>
    <row r="440" spans="4:5" x14ac:dyDescent="0.2">
      <c r="D440" s="2"/>
      <c r="E440" s="2"/>
    </row>
    <row r="441" spans="4:5" x14ac:dyDescent="0.2">
      <c r="D441" s="2"/>
      <c r="E441" s="2"/>
    </row>
    <row r="442" spans="4:5" x14ac:dyDescent="0.2">
      <c r="D442" s="2"/>
      <c r="E442" s="2"/>
    </row>
    <row r="443" spans="4:5" x14ac:dyDescent="0.2">
      <c r="D443" s="2"/>
      <c r="E443" s="2"/>
    </row>
    <row r="444" spans="4:5" x14ac:dyDescent="0.2">
      <c r="D444" s="2"/>
      <c r="E444" s="2"/>
    </row>
    <row r="445" spans="4:5" x14ac:dyDescent="0.2">
      <c r="D445" s="2"/>
      <c r="E445" s="2"/>
    </row>
  </sheetData>
  <mergeCells count="2">
    <mergeCell ref="A1:E1"/>
    <mergeCell ref="A2:E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5"/>
  <sheetViews>
    <sheetView tabSelected="1" workbookViewId="0">
      <selection activeCell="X17" sqref="X17"/>
    </sheetView>
  </sheetViews>
  <sheetFormatPr baseColWidth="10" defaultColWidth="8.83203125" defaultRowHeight="15" x14ac:dyDescent="0.2"/>
  <cols>
    <col min="3" max="3" width="2" customWidth="1"/>
    <col min="6" max="6" width="1.83203125" customWidth="1"/>
    <col min="9" max="9" width="2" customWidth="1"/>
    <col min="12" max="12" width="2.5" customWidth="1"/>
    <col min="13" max="13" width="2.33203125" customWidth="1"/>
    <col min="16" max="16" width="1.83203125" customWidth="1"/>
    <col min="17" max="18" width="9.1640625" customWidth="1"/>
    <col min="19" max="19" width="1.5" customWidth="1"/>
    <col min="20" max="21" width="9.1640625" customWidth="1"/>
    <col min="22" max="22" width="1.83203125" customWidth="1"/>
  </cols>
  <sheetData>
    <row r="1" spans="1:24" ht="16" x14ac:dyDescent="0.2">
      <c r="A1" s="44" t="s">
        <v>40</v>
      </c>
      <c r="B1" s="44"/>
      <c r="C1" s="44"/>
      <c r="D1" s="44"/>
      <c r="E1" s="44"/>
      <c r="F1" s="44"/>
      <c r="G1" s="44"/>
      <c r="H1" s="44"/>
      <c r="I1" s="13"/>
      <c r="J1" s="13"/>
      <c r="K1" s="13"/>
      <c r="L1" s="14"/>
      <c r="M1" s="47" t="s">
        <v>41</v>
      </c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x14ac:dyDescent="0.2">
      <c r="A2" s="42" t="s">
        <v>44</v>
      </c>
      <c r="B2" s="42"/>
      <c r="D2" s="42" t="s">
        <v>82</v>
      </c>
      <c r="E2" s="42"/>
      <c r="G2" s="42" t="s">
        <v>73</v>
      </c>
      <c r="H2" s="42"/>
      <c r="I2" s="12"/>
      <c r="J2" s="42" t="s">
        <v>46</v>
      </c>
      <c r="K2" s="42"/>
      <c r="L2" s="5"/>
      <c r="N2" s="42" t="s">
        <v>90</v>
      </c>
      <c r="O2" s="42"/>
      <c r="Q2" s="42" t="s">
        <v>85</v>
      </c>
      <c r="R2" s="42"/>
      <c r="T2" s="42" t="s">
        <v>100</v>
      </c>
      <c r="U2" s="42"/>
      <c r="W2" s="42"/>
      <c r="X2" s="42"/>
    </row>
    <row r="3" spans="1:24" x14ac:dyDescent="0.2">
      <c r="A3" s="9">
        <f>'General Ledger'!D4</f>
        <v>100000</v>
      </c>
      <c r="B3" s="8" t="str">
        <f>'General Ledger'!A4</f>
        <v>[1]</v>
      </c>
      <c r="D3" s="15">
        <f>'General Ledger'!D35</f>
        <v>1500</v>
      </c>
      <c r="E3" s="23" t="str">
        <f>B23</f>
        <v>[11]</v>
      </c>
      <c r="G3" s="9">
        <f>'General Ledger'!D10</f>
        <v>13660</v>
      </c>
      <c r="H3" s="12" t="str">
        <f>'General Ledger'!A10</f>
        <v>[3]</v>
      </c>
      <c r="I3" s="12"/>
      <c r="J3" s="9">
        <f>'General Ledger'!D7</f>
        <v>16340</v>
      </c>
      <c r="K3" s="12" t="str">
        <f>'General Ledger'!A7</f>
        <v>[2]</v>
      </c>
      <c r="L3" s="5"/>
      <c r="N3" s="9" t="str">
        <f>E12</f>
        <v>[17]</v>
      </c>
      <c r="O3" s="8">
        <f>D12</f>
        <v>4200</v>
      </c>
      <c r="P3" s="12"/>
      <c r="Q3" s="15" t="str">
        <f>U24</f>
        <v>[19]</v>
      </c>
      <c r="R3" s="23">
        <f>T24</f>
        <v>650</v>
      </c>
      <c r="T3" s="15" t="s">
        <v>99</v>
      </c>
      <c r="U3" s="28">
        <f>G29</f>
        <v>10625.625</v>
      </c>
      <c r="W3" s="9"/>
    </row>
    <row r="4" spans="1:24" x14ac:dyDescent="0.2">
      <c r="A4" s="10" t="str">
        <f>K3</f>
        <v>[2]</v>
      </c>
      <c r="B4">
        <f>J3</f>
        <v>16340</v>
      </c>
      <c r="D4" s="10">
        <f>D3</f>
        <v>1500</v>
      </c>
      <c r="E4" t="s">
        <v>91</v>
      </c>
      <c r="G4" s="17">
        <f>'General Ledger'!D46</f>
        <v>14400</v>
      </c>
      <c r="H4" s="11" t="str">
        <f>'General Ledger'!A46</f>
        <v>[14]</v>
      </c>
      <c r="I4" s="12"/>
      <c r="J4" s="10">
        <f>'General Ledger'!D43</f>
        <v>26650</v>
      </c>
      <c r="K4" s="12" t="str">
        <f>'General Ledger'!A43</f>
        <v>[13]</v>
      </c>
      <c r="L4" s="5"/>
      <c r="N4" s="17" t="str">
        <f>K5</f>
        <v>[18]</v>
      </c>
      <c r="O4" s="11">
        <f>J5</f>
        <v>2000</v>
      </c>
      <c r="Q4" s="10" t="s">
        <v>91</v>
      </c>
      <c r="R4">
        <f>R3</f>
        <v>650</v>
      </c>
      <c r="T4" s="10" t="s">
        <v>91</v>
      </c>
      <c r="U4" s="26">
        <f>U3</f>
        <v>10625.625</v>
      </c>
      <c r="W4" s="10"/>
    </row>
    <row r="5" spans="1:24" x14ac:dyDescent="0.2">
      <c r="A5" s="10" t="str">
        <f>H3</f>
        <v>[3]</v>
      </c>
      <c r="B5">
        <f>G3</f>
        <v>13660</v>
      </c>
      <c r="D5" s="10"/>
      <c r="G5" s="9">
        <f>SUM(G3:G4)</f>
        <v>28060</v>
      </c>
      <c r="H5" s="8" t="s">
        <v>92</v>
      </c>
      <c r="I5" s="12"/>
      <c r="J5" s="17">
        <f>'General Ledger'!D59</f>
        <v>2000</v>
      </c>
      <c r="K5" s="11" t="str">
        <f>'General Ledger'!A59</f>
        <v>[18]</v>
      </c>
      <c r="L5" s="5"/>
      <c r="N5" s="10" t="s">
        <v>91</v>
      </c>
      <c r="O5">
        <f>SUM(O3:O4)</f>
        <v>6200</v>
      </c>
      <c r="Q5" s="10"/>
      <c r="T5" s="10"/>
      <c r="W5" s="10"/>
    </row>
    <row r="6" spans="1:24" x14ac:dyDescent="0.2">
      <c r="A6" s="10" t="str">
        <f>E10</f>
        <v>[4]</v>
      </c>
      <c r="B6">
        <f>D10</f>
        <v>11000</v>
      </c>
      <c r="D6" s="10"/>
      <c r="G6" s="17" t="s">
        <v>146</v>
      </c>
      <c r="H6" s="11">
        <f>G5-G7</f>
        <v>16140</v>
      </c>
      <c r="I6" s="12"/>
      <c r="J6" s="10">
        <f>SUM(J3:J5)</f>
        <v>44990</v>
      </c>
      <c r="K6" s="12" t="s">
        <v>92</v>
      </c>
      <c r="L6" s="5"/>
      <c r="N6" s="10"/>
      <c r="Q6" s="10"/>
      <c r="T6" s="10"/>
      <c r="W6" s="10"/>
    </row>
    <row r="7" spans="1:24" x14ac:dyDescent="0.2">
      <c r="A7" s="10" t="str">
        <f>H16</f>
        <v>[5]</v>
      </c>
      <c r="B7">
        <f>G16</f>
        <v>4000</v>
      </c>
      <c r="G7" s="9">
        <v>11920</v>
      </c>
      <c r="H7" s="12" t="s">
        <v>91</v>
      </c>
      <c r="I7" s="12"/>
      <c r="J7" s="17" t="s">
        <v>145</v>
      </c>
      <c r="K7" s="11">
        <f>J6-J8</f>
        <v>27110</v>
      </c>
      <c r="L7" s="5"/>
    </row>
    <row r="8" spans="1:24" x14ac:dyDescent="0.2">
      <c r="A8" s="10">
        <f>'General Ledger'!D19</f>
        <v>53700</v>
      </c>
      <c r="B8" t="str">
        <f>'General Ledger'!A19</f>
        <v>[6]</v>
      </c>
      <c r="I8" s="12"/>
      <c r="J8" s="10">
        <v>17880</v>
      </c>
      <c r="K8" s="12" t="s">
        <v>91</v>
      </c>
      <c r="L8" s="5"/>
      <c r="N8" s="42"/>
      <c r="O8" s="42"/>
      <c r="Q8" s="42"/>
      <c r="R8" s="42"/>
      <c r="T8" s="42"/>
      <c r="U8" s="42"/>
      <c r="W8" s="42"/>
      <c r="X8" s="42"/>
    </row>
    <row r="9" spans="1:24" x14ac:dyDescent="0.2">
      <c r="A9" s="10">
        <f>'General Ledger'!D22</f>
        <v>22650</v>
      </c>
      <c r="B9" t="str">
        <f>'General Ledger'!A22</f>
        <v>[7]</v>
      </c>
      <c r="D9" s="42" t="s">
        <v>74</v>
      </c>
      <c r="E9" s="42"/>
      <c r="G9" s="42" t="s">
        <v>87</v>
      </c>
      <c r="H9" s="42"/>
      <c r="I9" s="12"/>
      <c r="J9" s="10"/>
      <c r="K9" s="12"/>
      <c r="L9" s="5"/>
      <c r="N9" s="9"/>
      <c r="Q9" s="9"/>
      <c r="T9" s="9"/>
      <c r="W9" s="9"/>
    </row>
    <row r="10" spans="1:24" x14ac:dyDescent="0.2">
      <c r="A10" s="10">
        <f>'General Ledger'!D25</f>
        <v>45600</v>
      </c>
      <c r="B10" t="str">
        <f>'General Ledger'!A25</f>
        <v>[8]</v>
      </c>
      <c r="D10" s="9">
        <f>'General Ledger'!D13</f>
        <v>11000</v>
      </c>
      <c r="E10" t="str">
        <f>'General Ledger'!A13</f>
        <v>[4]</v>
      </c>
      <c r="G10" s="9" t="str">
        <f>K23</f>
        <v>[20]</v>
      </c>
      <c r="H10" s="12">
        <f>J23</f>
        <v>2200</v>
      </c>
      <c r="I10" s="12"/>
      <c r="J10" s="10"/>
      <c r="K10" s="12"/>
      <c r="L10" s="5"/>
      <c r="N10" s="10"/>
      <c r="Q10" s="10"/>
      <c r="T10" s="10"/>
      <c r="W10" s="10"/>
    </row>
    <row r="11" spans="1:24" x14ac:dyDescent="0.2">
      <c r="A11" s="10">
        <f>'General Ledger'!D28</f>
        <v>64550</v>
      </c>
      <c r="B11" t="str">
        <f>'General Ledger'!A28</f>
        <v>[9]</v>
      </c>
      <c r="D11" s="10">
        <f>'General Ledger'!D40</f>
        <v>8400</v>
      </c>
      <c r="E11" t="str">
        <f>'General Ledger'!A40</f>
        <v>[12]</v>
      </c>
      <c r="G11" s="17" t="str">
        <f>K24</f>
        <v>[21]</v>
      </c>
      <c r="H11" s="24">
        <f>J24</f>
        <v>131.25</v>
      </c>
      <c r="I11" s="12"/>
      <c r="J11" s="10"/>
      <c r="K11" s="12"/>
      <c r="L11" s="5"/>
      <c r="N11" s="10"/>
      <c r="Q11" s="10"/>
      <c r="T11" s="10"/>
      <c r="W11" s="10"/>
    </row>
    <row r="12" spans="1:24" x14ac:dyDescent="0.2">
      <c r="A12" s="10">
        <f>'General Ledger'!D31</f>
        <v>3050</v>
      </c>
      <c r="B12" t="str">
        <f>'General Ledger'!A31</f>
        <v>[10]</v>
      </c>
      <c r="D12" s="17">
        <f>'General Ledger'!D56</f>
        <v>4200</v>
      </c>
      <c r="E12" s="11" t="str">
        <f>'General Ledger'!A56</f>
        <v>[17]</v>
      </c>
      <c r="G12" s="10" t="s">
        <v>91</v>
      </c>
      <c r="H12" s="21">
        <f>SUM(H10:H11)</f>
        <v>2331.25</v>
      </c>
      <c r="I12" s="12"/>
      <c r="J12" s="10"/>
      <c r="K12" s="12"/>
      <c r="L12" s="5"/>
      <c r="N12" s="10"/>
      <c r="Q12" s="10"/>
      <c r="T12" s="10"/>
      <c r="W12" s="10"/>
    </row>
    <row r="13" spans="1:24" x14ac:dyDescent="0.2">
      <c r="A13" s="10" t="str">
        <f>B23</f>
        <v>[11]</v>
      </c>
      <c r="B13">
        <f>'General Ledger'!E36</f>
        <v>19500</v>
      </c>
      <c r="D13" s="10">
        <f>SUM(D10:D12)</f>
        <v>23600</v>
      </c>
      <c r="E13" t="s">
        <v>91</v>
      </c>
      <c r="G13" s="10"/>
      <c r="H13" s="12"/>
      <c r="I13" s="12"/>
      <c r="J13" s="12"/>
      <c r="K13" s="12"/>
      <c r="L13" s="5"/>
    </row>
    <row r="14" spans="1:24" x14ac:dyDescent="0.2">
      <c r="A14" s="19" t="str">
        <f>E11</f>
        <v>[12]</v>
      </c>
      <c r="B14" s="18">
        <f>D11</f>
        <v>8400</v>
      </c>
      <c r="L14" s="5"/>
      <c r="N14" s="42" t="s">
        <v>45</v>
      </c>
      <c r="O14" s="42"/>
      <c r="Q14" s="42" t="s">
        <v>102</v>
      </c>
      <c r="R14" s="42"/>
      <c r="T14" s="42"/>
      <c r="U14" s="42"/>
      <c r="W14" s="42"/>
      <c r="X14" s="42"/>
    </row>
    <row r="15" spans="1:24" x14ac:dyDescent="0.2">
      <c r="A15" s="10" t="str">
        <f>K4</f>
        <v>[13]</v>
      </c>
      <c r="B15">
        <f>J4</f>
        <v>26650</v>
      </c>
      <c r="D15" s="42" t="s">
        <v>89</v>
      </c>
      <c r="E15" s="42"/>
      <c r="G15" s="42" t="s">
        <v>75</v>
      </c>
      <c r="H15" s="42"/>
      <c r="I15" s="12"/>
      <c r="J15" s="42" t="s">
        <v>88</v>
      </c>
      <c r="K15" s="42"/>
      <c r="L15" s="5"/>
      <c r="N15" s="15" t="str">
        <f>'General Ledger'!A4</f>
        <v>[1]</v>
      </c>
      <c r="O15" s="23">
        <f>'General Ledger'!E5</f>
        <v>100000</v>
      </c>
      <c r="Q15" s="15" t="s">
        <v>101</v>
      </c>
      <c r="R15" s="28">
        <f>W28</f>
        <v>24793.125</v>
      </c>
      <c r="T15" s="9"/>
      <c r="W15" s="9"/>
    </row>
    <row r="16" spans="1:24" x14ac:dyDescent="0.2">
      <c r="A16" s="10" t="str">
        <f>H4</f>
        <v>[14]</v>
      </c>
      <c r="B16">
        <f>G4</f>
        <v>14400</v>
      </c>
      <c r="D16" s="9">
        <f>'General Ledger'!D77</f>
        <v>15000</v>
      </c>
      <c r="E16" t="str">
        <f>'General Ledger'!A77</f>
        <v>[23]</v>
      </c>
      <c r="G16" s="15">
        <f>'General Ledger'!D16</f>
        <v>4000</v>
      </c>
      <c r="H16" s="23" t="str">
        <f>'General Ledger'!A16</f>
        <v>[5]</v>
      </c>
      <c r="I16" s="12"/>
      <c r="J16" s="15" t="str">
        <f>K25</f>
        <v>[22]</v>
      </c>
      <c r="K16" s="23">
        <f>J25</f>
        <v>2000</v>
      </c>
      <c r="L16" s="5"/>
      <c r="N16" s="10" t="s">
        <v>91</v>
      </c>
      <c r="O16">
        <f>O15</f>
        <v>100000</v>
      </c>
      <c r="Q16" s="10" t="s">
        <v>91</v>
      </c>
      <c r="R16" s="26">
        <f>R15</f>
        <v>24793.125</v>
      </c>
      <c r="T16" s="10"/>
      <c r="W16" s="10"/>
    </row>
    <row r="17" spans="1:24" x14ac:dyDescent="0.2">
      <c r="A17" s="10" t="str">
        <f>E23</f>
        <v>[15]</v>
      </c>
      <c r="B17">
        <f>D23</f>
        <v>51500</v>
      </c>
      <c r="D17" s="17">
        <f>'General Ledger'!D81</f>
        <v>600</v>
      </c>
      <c r="E17" s="16" t="str">
        <f>'General Ledger'!A81</f>
        <v>[24]</v>
      </c>
      <c r="G17" s="10">
        <f>G16</f>
        <v>4000</v>
      </c>
      <c r="H17" s="12" t="s">
        <v>91</v>
      </c>
      <c r="I17" s="12"/>
      <c r="J17" s="10" t="s">
        <v>91</v>
      </c>
      <c r="K17" s="12">
        <f>K16</f>
        <v>2000</v>
      </c>
      <c r="L17" s="5"/>
      <c r="N17" s="10"/>
      <c r="Q17" s="10"/>
      <c r="T17" s="10"/>
      <c r="W17" s="10"/>
    </row>
    <row r="18" spans="1:24" x14ac:dyDescent="0.2">
      <c r="A18" s="10" t="str">
        <f>H23</f>
        <v>[16]</v>
      </c>
      <c r="B18">
        <f>G23</f>
        <v>52000</v>
      </c>
      <c r="D18" s="10">
        <f>D16+D17</f>
        <v>15600</v>
      </c>
      <c r="E18" t="s">
        <v>91</v>
      </c>
      <c r="G18" s="10"/>
      <c r="H18" s="12"/>
      <c r="I18" s="12"/>
      <c r="J18" s="10"/>
      <c r="K18" s="12"/>
      <c r="L18" s="5"/>
      <c r="N18" s="10"/>
      <c r="Q18" s="10"/>
      <c r="T18" s="10"/>
      <c r="W18" s="10"/>
    </row>
    <row r="19" spans="1:24" x14ac:dyDescent="0.2">
      <c r="A19" s="17"/>
      <c r="B19" s="11"/>
      <c r="D19" s="10"/>
      <c r="G19" s="10"/>
      <c r="H19" s="12"/>
      <c r="I19" s="12"/>
      <c r="J19" s="10"/>
      <c r="K19" s="12"/>
      <c r="L19" s="5"/>
    </row>
    <row r="20" spans="1:24" ht="16" thickBot="1" x14ac:dyDescent="0.25">
      <c r="A20" s="22">
        <f>SUM(A3:A19)-SUM(B3:B20)</f>
        <v>72100</v>
      </c>
      <c r="B20" s="12" t="s">
        <v>91</v>
      </c>
      <c r="C20" s="12"/>
      <c r="D20" s="12"/>
      <c r="E20" s="12"/>
      <c r="F20" s="12"/>
      <c r="G20" s="12"/>
      <c r="H20" s="12"/>
      <c r="I20" s="12"/>
      <c r="J20" s="12"/>
      <c r="K20" s="12"/>
      <c r="L20" s="7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7" thickTop="1" x14ac:dyDescent="0.2">
      <c r="A21" s="45" t="s">
        <v>43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6"/>
      <c r="M21" s="47" t="s">
        <v>42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</row>
    <row r="22" spans="1:24" x14ac:dyDescent="0.2">
      <c r="A22" s="42" t="s">
        <v>76</v>
      </c>
      <c r="B22" s="42"/>
      <c r="D22" s="42" t="s">
        <v>83</v>
      </c>
      <c r="E22" s="42"/>
      <c r="G22" s="42" t="s">
        <v>84</v>
      </c>
      <c r="H22" s="42"/>
      <c r="I22" s="12"/>
      <c r="J22" s="42" t="s">
        <v>86</v>
      </c>
      <c r="K22" s="42"/>
      <c r="L22" s="5"/>
      <c r="N22" s="42" t="s">
        <v>77</v>
      </c>
      <c r="O22" s="42"/>
      <c r="Q22" s="42" t="s">
        <v>79</v>
      </c>
      <c r="R22" s="42"/>
      <c r="T22" s="42" t="s">
        <v>80</v>
      </c>
      <c r="U22" s="42"/>
      <c r="W22" s="42" t="s">
        <v>96</v>
      </c>
      <c r="X22" s="42"/>
    </row>
    <row r="23" spans="1:24" x14ac:dyDescent="0.2">
      <c r="A23" s="9">
        <f>'General Ledger'!D34</f>
        <v>18000</v>
      </c>
      <c r="B23" t="str">
        <f>'General Ledger'!A34</f>
        <v>[11]</v>
      </c>
      <c r="D23" s="9">
        <f>'General Ledger'!D49</f>
        <v>51500</v>
      </c>
      <c r="E23" t="str">
        <f>'General Ledger'!A49</f>
        <v>[15]</v>
      </c>
      <c r="G23" s="9">
        <f>'General Ledger'!D53</f>
        <v>52000</v>
      </c>
      <c r="H23" s="12" t="str">
        <f>'General Ledger'!A53</f>
        <v>[16]</v>
      </c>
      <c r="I23" s="12"/>
      <c r="J23" s="9">
        <f>'General Ledger'!D65</f>
        <v>2200</v>
      </c>
      <c r="K23" s="12" t="str">
        <f>'General Ledger'!A65</f>
        <v>[20]</v>
      </c>
      <c r="L23" s="5"/>
      <c r="N23" s="9" t="str">
        <f>B8</f>
        <v>[6]</v>
      </c>
      <c r="O23">
        <f>A8</f>
        <v>53700</v>
      </c>
      <c r="Q23" s="9" t="str">
        <f>B10</f>
        <v>[8]</v>
      </c>
      <c r="R23">
        <f>A10</f>
        <v>45600</v>
      </c>
      <c r="T23" s="9" t="str">
        <f>B11</f>
        <v>[9]</v>
      </c>
      <c r="U23">
        <f>A11</f>
        <v>64550</v>
      </c>
      <c r="W23" s="9" t="s">
        <v>35</v>
      </c>
      <c r="X23">
        <f>O23+R25+U25+O31+R29</f>
        <v>204500</v>
      </c>
    </row>
    <row r="24" spans="1:24" x14ac:dyDescent="0.2">
      <c r="A24" s="17" t="s">
        <v>97</v>
      </c>
      <c r="B24" s="11">
        <f>A23</f>
        <v>18000</v>
      </c>
      <c r="D24" s="17" t="s">
        <v>97</v>
      </c>
      <c r="E24" s="11">
        <f>D23</f>
        <v>51500</v>
      </c>
      <c r="G24" s="17" t="s">
        <v>97</v>
      </c>
      <c r="H24" s="11">
        <f>G23</f>
        <v>52000</v>
      </c>
      <c r="I24" s="12"/>
      <c r="J24" s="20">
        <f>'General Ledger'!D69</f>
        <v>131.25</v>
      </c>
      <c r="K24" s="12" t="str">
        <f>'General Ledger'!A69</f>
        <v>[21]</v>
      </c>
      <c r="L24" s="5"/>
      <c r="N24" s="17">
        <f>O23</f>
        <v>53700</v>
      </c>
      <c r="O24" s="11" t="s">
        <v>35</v>
      </c>
      <c r="Q24" s="17" t="str">
        <f>E16</f>
        <v>[23]</v>
      </c>
      <c r="R24" s="11">
        <f>D16</f>
        <v>15000</v>
      </c>
      <c r="T24" s="17">
        <f>'General Ledger'!D62</f>
        <v>650</v>
      </c>
      <c r="U24" s="11" t="str">
        <f>'General Ledger'!A62</f>
        <v>[19]</v>
      </c>
      <c r="W24" s="25">
        <f>A23+D23+G23+J26+D29+A29</f>
        <v>169081.25</v>
      </c>
      <c r="X24" s="11" t="s">
        <v>97</v>
      </c>
    </row>
    <row r="25" spans="1:24" x14ac:dyDescent="0.2">
      <c r="A25" s="10"/>
      <c r="D25" s="10"/>
      <c r="G25" s="10"/>
      <c r="H25" s="12"/>
      <c r="I25" s="12"/>
      <c r="J25" s="17">
        <f>'General Ledger'!D73</f>
        <v>2000</v>
      </c>
      <c r="K25" s="11" t="str">
        <f>'General Ledger'!A73</f>
        <v>[22]</v>
      </c>
      <c r="L25" s="5"/>
      <c r="N25" s="10"/>
      <c r="Q25" s="10" t="s">
        <v>92</v>
      </c>
      <c r="R25">
        <f>SUM(R23:R24)</f>
        <v>60600</v>
      </c>
      <c r="T25" s="10" t="s">
        <v>92</v>
      </c>
      <c r="U25">
        <f>U23-T24</f>
        <v>63900</v>
      </c>
      <c r="W25" s="10" t="s">
        <v>92</v>
      </c>
      <c r="X25" s="26">
        <f>X23-W24</f>
        <v>35418.75</v>
      </c>
    </row>
    <row r="26" spans="1:24" x14ac:dyDescent="0.2">
      <c r="A26" s="10"/>
      <c r="D26" s="10"/>
      <c r="G26" s="10"/>
      <c r="H26" s="12"/>
      <c r="I26" s="12"/>
      <c r="J26" s="20">
        <f>SUM(J23:J25)</f>
        <v>4331.25</v>
      </c>
      <c r="K26" s="12" t="s">
        <v>92</v>
      </c>
      <c r="L26" s="5"/>
      <c r="N26" s="10"/>
      <c r="Q26" s="17">
        <f>R25</f>
        <v>60600</v>
      </c>
      <c r="R26" s="11" t="s">
        <v>35</v>
      </c>
      <c r="T26" s="17">
        <f>U25</f>
        <v>63900</v>
      </c>
      <c r="U26" s="11" t="s">
        <v>35</v>
      </c>
      <c r="W26" s="25">
        <f>X25*0.3</f>
        <v>10625.625</v>
      </c>
      <c r="X26" s="11" t="s">
        <v>98</v>
      </c>
    </row>
    <row r="27" spans="1:24" x14ac:dyDescent="0.2">
      <c r="H27" s="12"/>
      <c r="I27" s="12"/>
      <c r="J27" s="17" t="s">
        <v>97</v>
      </c>
      <c r="K27" s="24">
        <f>J26</f>
        <v>4331.25</v>
      </c>
      <c r="L27" s="5"/>
      <c r="W27" s="10" t="s">
        <v>92</v>
      </c>
      <c r="X27" s="26">
        <f>X25-W26</f>
        <v>24793.125</v>
      </c>
    </row>
    <row r="28" spans="1:24" x14ac:dyDescent="0.2">
      <c r="A28" s="42" t="s">
        <v>93</v>
      </c>
      <c r="B28" s="42"/>
      <c r="D28" s="42" t="s">
        <v>94</v>
      </c>
      <c r="E28" s="42"/>
      <c r="G28" s="42" t="s">
        <v>95</v>
      </c>
      <c r="H28" s="42"/>
      <c r="I28" s="12"/>
      <c r="J28" s="19"/>
      <c r="K28" s="18"/>
      <c r="L28" s="5"/>
      <c r="N28" s="42" t="s">
        <v>78</v>
      </c>
      <c r="O28" s="42"/>
      <c r="Q28" s="42" t="s">
        <v>81</v>
      </c>
      <c r="R28" s="42"/>
      <c r="T28" s="42"/>
      <c r="U28" s="42"/>
      <c r="W28" s="25">
        <f>X27</f>
        <v>24793.125</v>
      </c>
      <c r="X28" s="11" t="s">
        <v>101</v>
      </c>
    </row>
    <row r="29" spans="1:24" x14ac:dyDescent="0.2">
      <c r="A29" s="9">
        <f>K7</f>
        <v>27110</v>
      </c>
      <c r="B29" t="str">
        <f>'General Ledger'!A85</f>
        <v>[25]</v>
      </c>
      <c r="D29" s="9">
        <f>H6</f>
        <v>16140</v>
      </c>
      <c r="E29" t="str">
        <f>'General Ledger'!A89</f>
        <v>[26]</v>
      </c>
      <c r="G29" s="27">
        <f>X25*0.3</f>
        <v>10625.625</v>
      </c>
      <c r="H29" s="12" t="s">
        <v>99</v>
      </c>
      <c r="I29" s="12"/>
      <c r="J29" s="10"/>
      <c r="K29" s="12"/>
      <c r="L29" s="5"/>
      <c r="N29" s="9" t="str">
        <f>B9</f>
        <v>[7]</v>
      </c>
      <c r="O29">
        <f>A9</f>
        <v>22650</v>
      </c>
      <c r="Q29" s="9" t="str">
        <f>B12</f>
        <v>[10]</v>
      </c>
      <c r="R29">
        <f>A12</f>
        <v>3050</v>
      </c>
      <c r="T29" s="9"/>
      <c r="W29" s="10"/>
    </row>
    <row r="30" spans="1:24" x14ac:dyDescent="0.2">
      <c r="A30" s="17" t="s">
        <v>97</v>
      </c>
      <c r="B30" s="11">
        <f>A29</f>
        <v>27110</v>
      </c>
      <c r="D30" s="17" t="s">
        <v>97</v>
      </c>
      <c r="E30" s="11">
        <f>D29</f>
        <v>16140</v>
      </c>
      <c r="G30" s="17" t="s">
        <v>98</v>
      </c>
      <c r="H30" s="24">
        <f>G29</f>
        <v>10625.625</v>
      </c>
      <c r="I30" s="12"/>
      <c r="J30" s="10"/>
      <c r="K30" s="12"/>
      <c r="L30" s="5"/>
      <c r="N30" s="17" t="str">
        <f>E17</f>
        <v>[24]</v>
      </c>
      <c r="O30" s="11">
        <f>D17</f>
        <v>600</v>
      </c>
      <c r="Q30" s="17">
        <f>R29</f>
        <v>3050</v>
      </c>
      <c r="R30" s="11" t="s">
        <v>35</v>
      </c>
      <c r="T30" s="10"/>
    </row>
    <row r="31" spans="1:24" x14ac:dyDescent="0.2">
      <c r="A31" s="10"/>
      <c r="D31" s="10"/>
      <c r="G31" s="10"/>
      <c r="H31" s="12"/>
      <c r="I31" s="12"/>
      <c r="J31" s="10"/>
      <c r="K31" s="12"/>
      <c r="L31" s="5"/>
      <c r="N31" s="10" t="s">
        <v>92</v>
      </c>
      <c r="O31">
        <f>O29+O30</f>
        <v>23250</v>
      </c>
      <c r="Q31" s="10"/>
      <c r="T31" s="10"/>
      <c r="W31" s="43"/>
      <c r="X31" s="43"/>
    </row>
    <row r="32" spans="1:24" x14ac:dyDescent="0.2">
      <c r="A32" s="10"/>
      <c r="D32" s="10"/>
      <c r="G32" s="10"/>
      <c r="H32" s="12"/>
      <c r="I32" s="12"/>
      <c r="J32" s="10"/>
      <c r="K32" s="12"/>
      <c r="L32" s="5"/>
      <c r="N32" s="17">
        <f>O31</f>
        <v>23250</v>
      </c>
      <c r="O32" s="11" t="s">
        <v>35</v>
      </c>
      <c r="Q32" s="10"/>
      <c r="T32" s="10"/>
      <c r="W32" s="12"/>
      <c r="X32" s="12"/>
    </row>
    <row r="33" spans="8:23" x14ac:dyDescent="0.2">
      <c r="H33" s="12"/>
      <c r="I33" s="12"/>
      <c r="J33" s="12"/>
      <c r="K33" s="12"/>
      <c r="L33" s="5"/>
      <c r="W33" s="12"/>
    </row>
    <row r="34" spans="8:23" x14ac:dyDescent="0.2">
      <c r="H34" s="12"/>
      <c r="I34" s="12"/>
      <c r="J34" s="12"/>
      <c r="K34" s="12"/>
      <c r="L34" s="5"/>
      <c r="W34" s="12"/>
    </row>
    <row r="35" spans="8:23" x14ac:dyDescent="0.2">
      <c r="W35" s="12"/>
    </row>
  </sheetData>
  <mergeCells count="40">
    <mergeCell ref="A1:H1"/>
    <mergeCell ref="A21:L21"/>
    <mergeCell ref="M1:X1"/>
    <mergeCell ref="M21:X21"/>
    <mergeCell ref="A2:B2"/>
    <mergeCell ref="D2:E2"/>
    <mergeCell ref="G2:H2"/>
    <mergeCell ref="W14:X14"/>
    <mergeCell ref="N14:O14"/>
    <mergeCell ref="W8:X8"/>
    <mergeCell ref="N8:O8"/>
    <mergeCell ref="W2:X2"/>
    <mergeCell ref="N2:O2"/>
    <mergeCell ref="J15:K15"/>
    <mergeCell ref="G15:H15"/>
    <mergeCell ref="D15:E15"/>
    <mergeCell ref="W31:X31"/>
    <mergeCell ref="N28:O28"/>
    <mergeCell ref="W22:X22"/>
    <mergeCell ref="N22:O22"/>
    <mergeCell ref="G28:H28"/>
    <mergeCell ref="Q28:R28"/>
    <mergeCell ref="T28:U28"/>
    <mergeCell ref="T22:U22"/>
    <mergeCell ref="Q22:R22"/>
    <mergeCell ref="T2:U2"/>
    <mergeCell ref="Q2:R2"/>
    <mergeCell ref="A28:B28"/>
    <mergeCell ref="J22:K22"/>
    <mergeCell ref="G22:H22"/>
    <mergeCell ref="D22:E22"/>
    <mergeCell ref="A22:B22"/>
    <mergeCell ref="D28:E28"/>
    <mergeCell ref="G9:H9"/>
    <mergeCell ref="D9:E9"/>
    <mergeCell ref="J2:K2"/>
    <mergeCell ref="Q14:R14"/>
    <mergeCell ref="T14:U14"/>
    <mergeCell ref="T8:U8"/>
    <mergeCell ref="Q8:R8"/>
  </mergeCells>
  <pageMargins left="0.70866141732283472" right="0.70866141732283472" top="0.74803149606299213" bottom="0.74803149606299213" header="0.31496062992125984" footer="0.31496062992125984"/>
  <pageSetup scale="75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sqref="A1:E1"/>
    </sheetView>
  </sheetViews>
  <sheetFormatPr baseColWidth="10" defaultColWidth="8.83203125" defaultRowHeight="15" x14ac:dyDescent="0.2"/>
  <cols>
    <col min="1" max="1" width="3.33203125" customWidth="1"/>
    <col min="2" max="2" width="36.6640625" customWidth="1"/>
    <col min="3" max="3" width="2" customWidth="1"/>
    <col min="4" max="5" width="11.5" bestFit="1" customWidth="1"/>
  </cols>
  <sheetData>
    <row r="1" spans="1:5" ht="16" thickBot="1" x14ac:dyDescent="0.25">
      <c r="A1" s="48" t="s">
        <v>103</v>
      </c>
      <c r="B1" s="48"/>
      <c r="C1" s="48"/>
      <c r="D1" s="48"/>
      <c r="E1" s="48"/>
    </row>
    <row r="3" spans="1:5" x14ac:dyDescent="0.2">
      <c r="A3" t="s">
        <v>35</v>
      </c>
      <c r="B3" t="s">
        <v>104</v>
      </c>
      <c r="D3" s="2">
        <f>'T-Accounts'!N24</f>
        <v>53700</v>
      </c>
      <c r="E3" s="2"/>
    </row>
    <row r="4" spans="1:5" x14ac:dyDescent="0.2">
      <c r="B4" t="s">
        <v>38</v>
      </c>
      <c r="D4" s="2">
        <f>'T-Accounts'!Q26</f>
        <v>60600</v>
      </c>
      <c r="E4" s="2"/>
    </row>
    <row r="5" spans="1:5" x14ac:dyDescent="0.2">
      <c r="B5" t="s">
        <v>36</v>
      </c>
      <c r="D5" s="2">
        <f>'T-Accounts'!T26</f>
        <v>63900</v>
      </c>
      <c r="E5" s="2"/>
    </row>
    <row r="6" spans="1:5" x14ac:dyDescent="0.2">
      <c r="B6" t="s">
        <v>37</v>
      </c>
      <c r="D6" s="2">
        <f>'T-Accounts'!N32</f>
        <v>23250</v>
      </c>
      <c r="E6" s="2"/>
    </row>
    <row r="7" spans="1:5" x14ac:dyDescent="0.2">
      <c r="B7" t="s">
        <v>13</v>
      </c>
      <c r="D7" s="2">
        <f>'T-Accounts'!Q30</f>
        <v>3050</v>
      </c>
      <c r="E7" s="2"/>
    </row>
    <row r="8" spans="1:5" x14ac:dyDescent="0.2">
      <c r="B8" s="1" t="s">
        <v>105</v>
      </c>
      <c r="D8" s="2"/>
      <c r="E8" s="2">
        <f>SUM(D3:D7)</f>
        <v>204500</v>
      </c>
    </row>
    <row r="9" spans="1:5" x14ac:dyDescent="0.2">
      <c r="D9" s="2"/>
      <c r="E9" s="2"/>
    </row>
    <row r="10" spans="1:5" x14ac:dyDescent="0.2">
      <c r="A10" t="s">
        <v>97</v>
      </c>
      <c r="B10" t="s">
        <v>105</v>
      </c>
      <c r="D10" s="2">
        <f>SUM(E11:E16)</f>
        <v>169081.25</v>
      </c>
      <c r="E10" s="2"/>
    </row>
    <row r="11" spans="1:5" x14ac:dyDescent="0.2">
      <c r="B11" s="1" t="s">
        <v>109</v>
      </c>
      <c r="D11" s="2"/>
      <c r="E11" s="2">
        <f>'T-Accounts'!K27</f>
        <v>4331.25</v>
      </c>
    </row>
    <row r="12" spans="1:5" x14ac:dyDescent="0.2">
      <c r="B12" s="1" t="s">
        <v>93</v>
      </c>
      <c r="D12" s="2"/>
      <c r="E12" s="2">
        <f>'T-Accounts'!B30</f>
        <v>27110</v>
      </c>
    </row>
    <row r="13" spans="1:5" x14ac:dyDescent="0.2">
      <c r="B13" s="1" t="s">
        <v>110</v>
      </c>
      <c r="D13" s="2"/>
      <c r="E13" s="2">
        <f>'T-Accounts'!E30</f>
        <v>16140</v>
      </c>
    </row>
    <row r="14" spans="1:5" x14ac:dyDescent="0.2">
      <c r="B14" s="1" t="s">
        <v>106</v>
      </c>
      <c r="D14" s="2"/>
      <c r="E14" s="2">
        <f>'T-Accounts'!B24</f>
        <v>18000</v>
      </c>
    </row>
    <row r="15" spans="1:5" x14ac:dyDescent="0.2">
      <c r="B15" s="1" t="s">
        <v>108</v>
      </c>
      <c r="D15" s="2"/>
      <c r="E15" s="2">
        <f>'T-Accounts'!H24</f>
        <v>52000</v>
      </c>
    </row>
    <row r="16" spans="1:5" x14ac:dyDescent="0.2">
      <c r="B16" s="1" t="s">
        <v>107</v>
      </c>
      <c r="D16" s="2"/>
      <c r="E16" s="2">
        <f>'T-Accounts'!E24</f>
        <v>51500</v>
      </c>
    </row>
    <row r="17" spans="1:5" x14ac:dyDescent="0.2">
      <c r="D17" s="2"/>
      <c r="E17" s="2"/>
    </row>
    <row r="18" spans="1:5" x14ac:dyDescent="0.2">
      <c r="A18" t="s">
        <v>99</v>
      </c>
      <c r="B18" s="3" t="s">
        <v>111</v>
      </c>
      <c r="D18" s="2">
        <f>(E8-D10)*0.3</f>
        <v>10625.625</v>
      </c>
      <c r="E18" s="2"/>
    </row>
    <row r="19" spans="1:5" x14ac:dyDescent="0.2">
      <c r="B19" s="1" t="s">
        <v>112</v>
      </c>
      <c r="D19" s="2"/>
      <c r="E19" s="2">
        <f>D18</f>
        <v>10625.625</v>
      </c>
    </row>
    <row r="20" spans="1:5" x14ac:dyDescent="0.2">
      <c r="D20" s="2"/>
      <c r="E20" s="2"/>
    </row>
    <row r="21" spans="1:5" x14ac:dyDescent="0.2">
      <c r="A21" t="s">
        <v>98</v>
      </c>
      <c r="B21" t="s">
        <v>105</v>
      </c>
      <c r="D21" s="2">
        <f>D18</f>
        <v>10625.625</v>
      </c>
      <c r="E21" s="2"/>
    </row>
    <row r="22" spans="1:5" x14ac:dyDescent="0.2">
      <c r="B22" s="1" t="s">
        <v>111</v>
      </c>
      <c r="D22" s="2"/>
      <c r="E22" s="2">
        <f>D21</f>
        <v>10625.625</v>
      </c>
    </row>
    <row r="23" spans="1:5" x14ac:dyDescent="0.2">
      <c r="D23" s="2"/>
      <c r="E23" s="2"/>
    </row>
    <row r="24" spans="1:5" x14ac:dyDescent="0.2">
      <c r="A24" t="s">
        <v>101</v>
      </c>
      <c r="B24" t="s">
        <v>105</v>
      </c>
      <c r="D24" s="2">
        <f>E8-D10-D18</f>
        <v>24793.125</v>
      </c>
      <c r="E24" s="2"/>
    </row>
    <row r="25" spans="1:5" x14ac:dyDescent="0.2">
      <c r="B25" s="1" t="s">
        <v>113</v>
      </c>
      <c r="D25" s="2"/>
      <c r="E25" s="2">
        <f>D24</f>
        <v>24793.125</v>
      </c>
    </row>
    <row r="26" spans="1:5" x14ac:dyDescent="0.2">
      <c r="D26" s="2"/>
      <c r="E26" s="2"/>
    </row>
    <row r="27" spans="1:5" x14ac:dyDescent="0.2">
      <c r="D27" s="2"/>
      <c r="E27" s="2"/>
    </row>
    <row r="28" spans="1:5" x14ac:dyDescent="0.2">
      <c r="D28" s="2"/>
      <c r="E28" s="2"/>
    </row>
    <row r="29" spans="1:5" x14ac:dyDescent="0.2">
      <c r="D29" s="2"/>
      <c r="E29" s="2"/>
    </row>
    <row r="30" spans="1:5" x14ac:dyDescent="0.2">
      <c r="D30" s="2"/>
      <c r="E30" s="2"/>
    </row>
    <row r="31" spans="1:5" x14ac:dyDescent="0.2">
      <c r="D31" s="2"/>
      <c r="E31" s="2"/>
    </row>
    <row r="32" spans="1:5" x14ac:dyDescent="0.2">
      <c r="D32" s="2"/>
      <c r="E32" s="2"/>
    </row>
    <row r="33" spans="4:5" x14ac:dyDescent="0.2">
      <c r="D33" s="2"/>
      <c r="E33" s="2"/>
    </row>
  </sheetData>
  <mergeCells count="1">
    <mergeCell ref="A1:E1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>
      <selection activeCell="J43" sqref="J43"/>
    </sheetView>
  </sheetViews>
  <sheetFormatPr baseColWidth="10" defaultColWidth="8.83203125" defaultRowHeight="15" x14ac:dyDescent="0.2"/>
  <cols>
    <col min="1" max="1" width="36.1640625" customWidth="1"/>
    <col min="2" max="2" width="0.1640625" customWidth="1"/>
    <col min="3" max="4" width="11.5" bestFit="1" customWidth="1"/>
  </cols>
  <sheetData>
    <row r="1" spans="1:4" x14ac:dyDescent="0.2">
      <c r="A1" s="49" t="str">
        <f>'General Ledger'!A1:E1</f>
        <v>Forest City Tennis Club - Pro Shop and Bar Lounge</v>
      </c>
      <c r="B1" s="49"/>
      <c r="C1" s="49"/>
      <c r="D1" s="49"/>
    </row>
    <row r="2" spans="1:4" x14ac:dyDescent="0.2">
      <c r="A2" s="49" t="s">
        <v>141</v>
      </c>
      <c r="B2" s="49"/>
      <c r="C2" s="49"/>
      <c r="D2" s="49"/>
    </row>
    <row r="3" spans="1:4" ht="16" thickBot="1" x14ac:dyDescent="0.25">
      <c r="A3" s="48" t="str">
        <f>'Balance Sheet'!A3:D3</f>
        <v>As At June 30, 2008</v>
      </c>
      <c r="B3" s="48"/>
      <c r="C3" s="48"/>
      <c r="D3" s="48"/>
    </row>
    <row r="4" spans="1:4" x14ac:dyDescent="0.2">
      <c r="A4" s="35"/>
    </row>
    <row r="5" spans="1:4" x14ac:dyDescent="0.2">
      <c r="A5" s="36" t="s">
        <v>2</v>
      </c>
      <c r="C5" s="30">
        <f>'T-Accounts'!A20</f>
        <v>72100</v>
      </c>
      <c r="D5" s="2"/>
    </row>
    <row r="6" spans="1:4" x14ac:dyDescent="0.2">
      <c r="A6" s="36" t="s">
        <v>27</v>
      </c>
      <c r="C6" s="2">
        <f>'T-Accounts'!D18</f>
        <v>15600</v>
      </c>
      <c r="D6" s="2"/>
    </row>
    <row r="7" spans="1:4" x14ac:dyDescent="0.2">
      <c r="A7" s="36" t="s">
        <v>14</v>
      </c>
      <c r="C7" s="2">
        <f>'T-Accounts'!D4</f>
        <v>1500</v>
      </c>
      <c r="D7" s="2"/>
    </row>
    <row r="8" spans="1:4" x14ac:dyDescent="0.2">
      <c r="A8" s="36" t="s">
        <v>5</v>
      </c>
      <c r="C8" s="2">
        <f>'T-Accounts'!G7</f>
        <v>11920</v>
      </c>
      <c r="D8" s="2"/>
    </row>
    <row r="9" spans="1:4" x14ac:dyDescent="0.2">
      <c r="A9" s="36" t="s">
        <v>4</v>
      </c>
      <c r="C9" s="2">
        <f>'T-Accounts'!J8</f>
        <v>17880</v>
      </c>
      <c r="D9" s="2"/>
    </row>
    <row r="10" spans="1:4" x14ac:dyDescent="0.2">
      <c r="A10" s="36" t="s">
        <v>6</v>
      </c>
      <c r="C10" s="2">
        <f>'T-Accounts'!D13</f>
        <v>23600</v>
      </c>
      <c r="D10" s="2"/>
    </row>
    <row r="11" spans="1:4" x14ac:dyDescent="0.2">
      <c r="A11" s="36" t="s">
        <v>130</v>
      </c>
      <c r="C11" s="2"/>
      <c r="D11" s="30">
        <f>'T-Accounts'!H12</f>
        <v>2331.25</v>
      </c>
    </row>
    <row r="12" spans="1:4" x14ac:dyDescent="0.2">
      <c r="A12" s="36" t="s">
        <v>7</v>
      </c>
      <c r="C12" s="2">
        <f>'T-Accounts'!G17</f>
        <v>4000</v>
      </c>
      <c r="D12" s="29"/>
    </row>
    <row r="13" spans="1:4" x14ac:dyDescent="0.2">
      <c r="A13" s="36" t="s">
        <v>131</v>
      </c>
      <c r="C13" s="2"/>
      <c r="D13" s="2">
        <f>'T-Accounts'!K17</f>
        <v>2000</v>
      </c>
    </row>
    <row r="14" spans="1:4" x14ac:dyDescent="0.2">
      <c r="A14" s="36" t="s">
        <v>18</v>
      </c>
      <c r="C14" s="2"/>
      <c r="D14" s="2">
        <f>'T-Accounts'!O5</f>
        <v>6200</v>
      </c>
    </row>
    <row r="15" spans="1:4" x14ac:dyDescent="0.2">
      <c r="A15" s="36" t="s">
        <v>136</v>
      </c>
      <c r="C15" s="2"/>
      <c r="D15" s="2">
        <f>'T-Accounts'!R4</f>
        <v>650</v>
      </c>
    </row>
    <row r="16" spans="1:4" x14ac:dyDescent="0.2">
      <c r="A16" s="36" t="s">
        <v>112</v>
      </c>
      <c r="C16" s="2"/>
      <c r="D16" s="2">
        <f>'T-Accounts'!U4</f>
        <v>10625.625</v>
      </c>
    </row>
    <row r="17" spans="1:4" x14ac:dyDescent="0.2">
      <c r="A17" s="36" t="s">
        <v>3</v>
      </c>
      <c r="C17" s="2"/>
      <c r="D17" s="2">
        <f>'T-Accounts'!O16</f>
        <v>100000</v>
      </c>
    </row>
    <row r="18" spans="1:4" x14ac:dyDescent="0.2">
      <c r="A18" s="37" t="s">
        <v>113</v>
      </c>
      <c r="B18" s="11"/>
      <c r="C18" s="31"/>
      <c r="D18" s="31">
        <f>'T-Accounts'!R16</f>
        <v>24793.125</v>
      </c>
    </row>
    <row r="19" spans="1:4" ht="16" thickBot="1" x14ac:dyDescent="0.25">
      <c r="A19" s="36" t="s">
        <v>142</v>
      </c>
      <c r="C19" s="34">
        <f>SUM(C5:C18)</f>
        <v>146600</v>
      </c>
      <c r="D19" s="34">
        <f>SUM(D5:D18)</f>
        <v>146600</v>
      </c>
    </row>
    <row r="20" spans="1:4" ht="16" thickTop="1" x14ac:dyDescent="0.2">
      <c r="A20" s="36"/>
    </row>
  </sheetData>
  <mergeCells count="3">
    <mergeCell ref="A1:D1"/>
    <mergeCell ref="A2:D2"/>
    <mergeCell ref="A3:D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workbookViewId="0">
      <selection activeCell="H18" sqref="H18"/>
    </sheetView>
  </sheetViews>
  <sheetFormatPr baseColWidth="10" defaultColWidth="8.83203125" defaultRowHeight="15" x14ac:dyDescent="0.2"/>
  <cols>
    <col min="1" max="1" width="27.5" customWidth="1"/>
    <col min="2" max="2" width="2.33203125" customWidth="1"/>
    <col min="3" max="3" width="11.5" bestFit="1" customWidth="1"/>
    <col min="4" max="4" width="12.5" bestFit="1" customWidth="1"/>
  </cols>
  <sheetData>
    <row r="1" spans="1:4" x14ac:dyDescent="0.2">
      <c r="A1" s="40" t="str">
        <f>'General Ledger'!A1:E1</f>
        <v>Forest City Tennis Club - Pro Shop and Bar Lounge</v>
      </c>
      <c r="B1" s="40"/>
      <c r="C1" s="40"/>
      <c r="D1" s="40"/>
    </row>
    <row r="2" spans="1:4" x14ac:dyDescent="0.2">
      <c r="A2" s="40" t="s">
        <v>114</v>
      </c>
      <c r="B2" s="40"/>
      <c r="C2" s="40"/>
      <c r="D2" s="40"/>
    </row>
    <row r="3" spans="1:4" ht="16" thickBot="1" x14ac:dyDescent="0.25">
      <c r="A3" s="41" t="s">
        <v>115</v>
      </c>
      <c r="B3" s="41"/>
      <c r="C3" s="41"/>
      <c r="D3" s="41"/>
    </row>
    <row r="5" spans="1:4" x14ac:dyDescent="0.2">
      <c r="A5" s="4" t="s">
        <v>116</v>
      </c>
    </row>
    <row r="6" spans="1:4" x14ac:dyDescent="0.2">
      <c r="A6" s="1" t="str">
        <f>'Adjusting &amp; Closing Entries'!B3</f>
        <v>Pro Shop Revenue</v>
      </c>
      <c r="C6" s="2">
        <f>'Adjusting &amp; Closing Entries'!D3</f>
        <v>53700</v>
      </c>
      <c r="D6" s="2"/>
    </row>
    <row r="7" spans="1:4" x14ac:dyDescent="0.2">
      <c r="A7" s="1" t="str">
        <f>'Adjusting &amp; Closing Entries'!B4</f>
        <v>Instruction Revenue</v>
      </c>
      <c r="C7" s="2">
        <f>'Adjusting &amp; Closing Entries'!D4</f>
        <v>60600</v>
      </c>
      <c r="D7" s="2"/>
    </row>
    <row r="8" spans="1:4" x14ac:dyDescent="0.2">
      <c r="A8" s="1" t="str">
        <f>'Adjusting &amp; Closing Entries'!B5</f>
        <v>Liquor Revenue</v>
      </c>
      <c r="C8" s="2">
        <f>'Adjusting &amp; Closing Entries'!D5</f>
        <v>63900</v>
      </c>
      <c r="D8" s="2"/>
    </row>
    <row r="9" spans="1:4" x14ac:dyDescent="0.2">
      <c r="A9" s="1" t="str">
        <f>'Adjusting &amp; Closing Entries'!B6</f>
        <v>Match Revenue</v>
      </c>
      <c r="C9" s="2">
        <f>'Adjusting &amp; Closing Entries'!D6</f>
        <v>23250</v>
      </c>
      <c r="D9" s="2"/>
    </row>
    <row r="10" spans="1:4" x14ac:dyDescent="0.2">
      <c r="A10" s="1" t="str">
        <f>'Adjusting &amp; Closing Entries'!B7</f>
        <v>Other Revenue</v>
      </c>
      <c r="C10" s="31">
        <f>'Adjusting &amp; Closing Entries'!D7</f>
        <v>3050</v>
      </c>
      <c r="D10" s="2"/>
    </row>
    <row r="11" spans="1:4" x14ac:dyDescent="0.2">
      <c r="A11" t="s">
        <v>117</v>
      </c>
      <c r="C11" s="2"/>
      <c r="D11" s="2">
        <f>SUM(C6:C10)</f>
        <v>204500</v>
      </c>
    </row>
    <row r="12" spans="1:4" x14ac:dyDescent="0.2">
      <c r="C12" s="2"/>
      <c r="D12" s="2"/>
    </row>
    <row r="13" spans="1:4" x14ac:dyDescent="0.2">
      <c r="A13" t="str">
        <f>'Adjusting &amp; Closing Entries'!B12</f>
        <v>COGS</v>
      </c>
      <c r="C13" s="2">
        <f>'Adjusting &amp; Closing Entries'!E12</f>
        <v>27110</v>
      </c>
      <c r="D13" s="2"/>
    </row>
    <row r="14" spans="1:4" x14ac:dyDescent="0.2">
      <c r="A14" t="str">
        <f>'Adjusting &amp; Closing Entries'!B13</f>
        <v>Liquor COGS</v>
      </c>
      <c r="C14" s="31">
        <f>'Adjusting &amp; Closing Entries'!E13</f>
        <v>16140</v>
      </c>
      <c r="D14" s="31">
        <f>C13+C14</f>
        <v>43250</v>
      </c>
    </row>
    <row r="15" spans="1:4" x14ac:dyDescent="0.2">
      <c r="A15" t="s">
        <v>118</v>
      </c>
      <c r="C15" s="2"/>
      <c r="D15" s="2">
        <f>D11-D14</f>
        <v>161250</v>
      </c>
    </row>
    <row r="16" spans="1:4" x14ac:dyDescent="0.2">
      <c r="C16" s="2"/>
      <c r="D16" s="2"/>
    </row>
    <row r="17" spans="1:4" x14ac:dyDescent="0.2">
      <c r="A17" t="s">
        <v>119</v>
      </c>
      <c r="C17" s="2"/>
      <c r="D17" s="2"/>
    </row>
    <row r="18" spans="1:4" x14ac:dyDescent="0.2">
      <c r="A18" t="str">
        <f>'Adjusting &amp; Closing Entries'!B11</f>
        <v>Amortization</v>
      </c>
      <c r="C18" s="2">
        <f>'Adjusting &amp; Closing Entries'!E11</f>
        <v>4331.25</v>
      </c>
      <c r="D18" s="2"/>
    </row>
    <row r="19" spans="1:4" x14ac:dyDescent="0.2">
      <c r="A19" t="str">
        <f>'Adjusting &amp; Closing Entries'!B14</f>
        <v>Rent</v>
      </c>
      <c r="C19" s="2">
        <f>'Adjusting &amp; Closing Entries'!E14</f>
        <v>18000</v>
      </c>
      <c r="D19" s="2"/>
    </row>
    <row r="20" spans="1:4" x14ac:dyDescent="0.2">
      <c r="A20" t="str">
        <f>'Adjusting &amp; Closing Entries'!B15</f>
        <v>Salaries</v>
      </c>
      <c r="C20" s="2">
        <f>'Adjusting &amp; Closing Entries'!E15</f>
        <v>52000</v>
      </c>
      <c r="D20" s="2"/>
    </row>
    <row r="21" spans="1:4" x14ac:dyDescent="0.2">
      <c r="A21" t="str">
        <f>'Adjusting &amp; Closing Entries'!B16</f>
        <v>Wages</v>
      </c>
      <c r="C21" s="31">
        <f>'Adjusting &amp; Closing Entries'!E16</f>
        <v>51500</v>
      </c>
      <c r="D21" s="2"/>
    </row>
    <row r="22" spans="1:4" x14ac:dyDescent="0.2">
      <c r="A22" t="s">
        <v>120</v>
      </c>
      <c r="C22" s="2"/>
      <c r="D22" s="31">
        <f>SUM(C18:C21)</f>
        <v>125831.25</v>
      </c>
    </row>
    <row r="23" spans="1:4" x14ac:dyDescent="0.2">
      <c r="C23" s="2"/>
      <c r="D23" s="2"/>
    </row>
    <row r="24" spans="1:4" x14ac:dyDescent="0.2">
      <c r="A24" t="s">
        <v>121</v>
      </c>
      <c r="C24" s="2"/>
      <c r="D24" s="2">
        <f>D15-D22</f>
        <v>35418.75</v>
      </c>
    </row>
    <row r="25" spans="1:4" x14ac:dyDescent="0.2">
      <c r="A25" t="s">
        <v>122</v>
      </c>
      <c r="C25" s="2"/>
      <c r="D25" s="31">
        <f>D24*0.3</f>
        <v>10625.625</v>
      </c>
    </row>
    <row r="26" spans="1:4" ht="16" thickBot="1" x14ac:dyDescent="0.25">
      <c r="A26" t="s">
        <v>123</v>
      </c>
      <c r="C26" s="2"/>
      <c r="D26" s="34">
        <f>D24-D25</f>
        <v>24793.125</v>
      </c>
    </row>
    <row r="27" spans="1:4" ht="16" thickTop="1" x14ac:dyDescent="0.2"/>
  </sheetData>
  <mergeCells count="3">
    <mergeCell ref="A1:D1"/>
    <mergeCell ref="A2:D2"/>
    <mergeCell ref="A3:D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0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34.6640625" customWidth="1"/>
    <col min="2" max="2" width="2.5" customWidth="1"/>
    <col min="3" max="4" width="12.5" bestFit="1" customWidth="1"/>
  </cols>
  <sheetData>
    <row r="1" spans="1:4" x14ac:dyDescent="0.2">
      <c r="A1" s="50" t="str">
        <f>'Income Statement'!A1:D1</f>
        <v>Forest City Tennis Club - Pro Shop and Bar Lounge</v>
      </c>
      <c r="B1" s="50"/>
      <c r="C1" s="50"/>
      <c r="D1" s="50"/>
    </row>
    <row r="2" spans="1:4" x14ac:dyDescent="0.2">
      <c r="A2" s="50" t="s">
        <v>124</v>
      </c>
      <c r="B2" s="50"/>
      <c r="C2" s="50"/>
      <c r="D2" s="50"/>
    </row>
    <row r="3" spans="1:4" ht="16" thickBot="1" x14ac:dyDescent="0.25">
      <c r="A3" s="48" t="s">
        <v>125</v>
      </c>
      <c r="B3" s="48"/>
      <c r="C3" s="48"/>
      <c r="D3" s="48"/>
    </row>
    <row r="5" spans="1:4" x14ac:dyDescent="0.2">
      <c r="A5" s="4" t="s">
        <v>39</v>
      </c>
    </row>
    <row r="6" spans="1:4" x14ac:dyDescent="0.2">
      <c r="A6" s="4"/>
    </row>
    <row r="7" spans="1:4" x14ac:dyDescent="0.2">
      <c r="A7" t="s">
        <v>126</v>
      </c>
    </row>
    <row r="8" spans="1:4" x14ac:dyDescent="0.2">
      <c r="A8" s="1" t="s">
        <v>2</v>
      </c>
      <c r="C8" s="30">
        <f>'T-Accounts'!A20</f>
        <v>72100</v>
      </c>
      <c r="D8" s="2"/>
    </row>
    <row r="9" spans="1:4" x14ac:dyDescent="0.2">
      <c r="A9" s="1" t="s">
        <v>27</v>
      </c>
      <c r="C9" s="2">
        <f>'T-Accounts'!D18</f>
        <v>15600</v>
      </c>
      <c r="D9" s="2"/>
    </row>
    <row r="10" spans="1:4" x14ac:dyDescent="0.2">
      <c r="A10" s="1" t="s">
        <v>14</v>
      </c>
      <c r="C10" s="2">
        <f>'T-Accounts'!D4</f>
        <v>1500</v>
      </c>
      <c r="D10" s="2"/>
    </row>
    <row r="11" spans="1:4" x14ac:dyDescent="0.2">
      <c r="A11" s="1" t="s">
        <v>127</v>
      </c>
      <c r="C11" s="2">
        <f>'T-Accounts'!J8</f>
        <v>17880</v>
      </c>
      <c r="D11" s="2"/>
    </row>
    <row r="12" spans="1:4" x14ac:dyDescent="0.2">
      <c r="A12" s="1" t="s">
        <v>5</v>
      </c>
      <c r="C12" s="31">
        <f>'T-Accounts'!G7</f>
        <v>11920</v>
      </c>
      <c r="D12" s="2"/>
    </row>
    <row r="13" spans="1:4" x14ac:dyDescent="0.2">
      <c r="A13" t="s">
        <v>128</v>
      </c>
      <c r="C13" s="2"/>
      <c r="D13" s="30">
        <f>SUM(C8:C12)</f>
        <v>119000</v>
      </c>
    </row>
    <row r="14" spans="1:4" x14ac:dyDescent="0.2">
      <c r="C14" s="2"/>
      <c r="D14" s="2"/>
    </row>
    <row r="15" spans="1:4" x14ac:dyDescent="0.2">
      <c r="A15" s="3" t="s">
        <v>129</v>
      </c>
      <c r="C15" s="2"/>
      <c r="D15" s="2"/>
    </row>
    <row r="16" spans="1:4" x14ac:dyDescent="0.2">
      <c r="A16" s="1" t="s">
        <v>6</v>
      </c>
      <c r="C16" s="30">
        <f>'T-Accounts'!D13</f>
        <v>23600</v>
      </c>
      <c r="D16" s="2"/>
    </row>
    <row r="17" spans="1:4" x14ac:dyDescent="0.2">
      <c r="A17" s="1" t="s">
        <v>130</v>
      </c>
      <c r="C17" s="31">
        <f>'T-Accounts'!H12</f>
        <v>2331.25</v>
      </c>
      <c r="D17" s="2">
        <f>C16-C17</f>
        <v>21268.75</v>
      </c>
    </row>
    <row r="18" spans="1:4" x14ac:dyDescent="0.2">
      <c r="A18" s="1" t="s">
        <v>7</v>
      </c>
      <c r="C18" s="30">
        <f>'T-Accounts'!G17</f>
        <v>4000</v>
      </c>
      <c r="D18" s="2"/>
    </row>
    <row r="19" spans="1:4" x14ac:dyDescent="0.2">
      <c r="A19" s="1" t="s">
        <v>131</v>
      </c>
      <c r="C19" s="31">
        <f>'T-Accounts'!K17</f>
        <v>2000</v>
      </c>
      <c r="D19" s="31">
        <f>C18-C19</f>
        <v>2000</v>
      </c>
    </row>
    <row r="20" spans="1:4" x14ac:dyDescent="0.2">
      <c r="A20" t="s">
        <v>132</v>
      </c>
      <c r="C20" s="2"/>
      <c r="D20" s="32">
        <f>SUM(D16:D19)</f>
        <v>23268.75</v>
      </c>
    </row>
    <row r="21" spans="1:4" x14ac:dyDescent="0.2">
      <c r="C21" s="2"/>
      <c r="D21" s="2"/>
    </row>
    <row r="22" spans="1:4" ht="16" thickBot="1" x14ac:dyDescent="0.25">
      <c r="A22" t="s">
        <v>133</v>
      </c>
      <c r="C22" s="2"/>
      <c r="D22" s="33">
        <f>D13+D20</f>
        <v>142268.75</v>
      </c>
    </row>
    <row r="23" spans="1:4" ht="16" thickTop="1" x14ac:dyDescent="0.2">
      <c r="C23" s="2"/>
      <c r="D23" s="2"/>
    </row>
    <row r="24" spans="1:4" x14ac:dyDescent="0.2">
      <c r="A24" s="4" t="s">
        <v>134</v>
      </c>
      <c r="C24" s="2"/>
      <c r="D24" s="2"/>
    </row>
    <row r="25" spans="1:4" x14ac:dyDescent="0.2">
      <c r="C25" s="2"/>
      <c r="D25" s="2"/>
    </row>
    <row r="26" spans="1:4" x14ac:dyDescent="0.2">
      <c r="A26" t="s">
        <v>135</v>
      </c>
      <c r="C26" s="2"/>
      <c r="D26" s="2"/>
    </row>
    <row r="27" spans="1:4" x14ac:dyDescent="0.2">
      <c r="A27" s="1" t="s">
        <v>18</v>
      </c>
      <c r="C27" s="30">
        <f>'T-Accounts'!O5</f>
        <v>6200</v>
      </c>
      <c r="D27" s="2"/>
    </row>
    <row r="28" spans="1:4" x14ac:dyDescent="0.2">
      <c r="A28" s="1" t="s">
        <v>136</v>
      </c>
      <c r="C28" s="2">
        <f>'T-Accounts'!R4</f>
        <v>650</v>
      </c>
      <c r="D28" s="2"/>
    </row>
    <row r="29" spans="1:4" x14ac:dyDescent="0.2">
      <c r="A29" s="1" t="s">
        <v>112</v>
      </c>
      <c r="C29" s="31">
        <f>'T-Accounts'!U4</f>
        <v>10625.625</v>
      </c>
      <c r="D29" s="2"/>
    </row>
    <row r="30" spans="1:4" x14ac:dyDescent="0.2">
      <c r="A30" t="s">
        <v>137</v>
      </c>
      <c r="C30" s="2"/>
      <c r="D30" s="30">
        <f>SUM(C27:C29)</f>
        <v>17475.625</v>
      </c>
    </row>
    <row r="31" spans="1:4" x14ac:dyDescent="0.2">
      <c r="C31" s="2"/>
      <c r="D31" s="2"/>
    </row>
    <row r="32" spans="1:4" x14ac:dyDescent="0.2">
      <c r="A32" s="3" t="s">
        <v>138</v>
      </c>
      <c r="C32" s="2"/>
      <c r="D32" s="2"/>
    </row>
    <row r="33" spans="1:4" x14ac:dyDescent="0.2">
      <c r="A33" t="s">
        <v>3</v>
      </c>
      <c r="C33" s="30">
        <f>'T-Accounts'!O16</f>
        <v>100000</v>
      </c>
      <c r="D33" s="2"/>
    </row>
    <row r="34" spans="1:4" x14ac:dyDescent="0.2">
      <c r="A34" t="s">
        <v>113</v>
      </c>
      <c r="C34" s="31">
        <f>'T-Accounts'!R16</f>
        <v>24793.125</v>
      </c>
      <c r="D34" s="2"/>
    </row>
    <row r="35" spans="1:4" x14ac:dyDescent="0.2">
      <c r="A35" t="s">
        <v>139</v>
      </c>
      <c r="C35" s="2"/>
      <c r="D35" s="31">
        <f>SUM(C33:C34)</f>
        <v>124793.125</v>
      </c>
    </row>
    <row r="36" spans="1:4" x14ac:dyDescent="0.2">
      <c r="C36" s="2"/>
      <c r="D36" s="2"/>
    </row>
    <row r="37" spans="1:4" ht="16" thickBot="1" x14ac:dyDescent="0.25">
      <c r="A37" s="4" t="s">
        <v>140</v>
      </c>
      <c r="C37" s="2"/>
      <c r="D37" s="33">
        <f>D30+D35</f>
        <v>142268.75</v>
      </c>
    </row>
    <row r="38" spans="1:4" ht="16" thickTop="1" x14ac:dyDescent="0.2">
      <c r="C38" s="2"/>
      <c r="D38" s="2"/>
    </row>
    <row r="39" spans="1:4" x14ac:dyDescent="0.2">
      <c r="C39" s="2"/>
      <c r="D39" s="2"/>
    </row>
    <row r="40" spans="1:4" x14ac:dyDescent="0.2">
      <c r="C40" s="2"/>
      <c r="D40" s="2"/>
    </row>
    <row r="41" spans="1:4" x14ac:dyDescent="0.2">
      <c r="C41" s="2"/>
      <c r="D41" s="2"/>
    </row>
    <row r="42" spans="1:4" x14ac:dyDescent="0.2">
      <c r="C42" s="2"/>
      <c r="D42" s="2"/>
    </row>
    <row r="43" spans="1:4" x14ac:dyDescent="0.2">
      <c r="C43" s="2"/>
      <c r="D43" s="2"/>
    </row>
    <row r="44" spans="1:4" x14ac:dyDescent="0.2">
      <c r="C44" s="2"/>
      <c r="D44" s="2"/>
    </row>
    <row r="45" spans="1:4" x14ac:dyDescent="0.2">
      <c r="C45" s="2"/>
      <c r="D45" s="2"/>
    </row>
    <row r="46" spans="1:4" x14ac:dyDescent="0.2">
      <c r="C46" s="2"/>
      <c r="D46" s="2"/>
    </row>
    <row r="47" spans="1:4" x14ac:dyDescent="0.2">
      <c r="C47" s="2"/>
      <c r="D47" s="2"/>
    </row>
    <row r="48" spans="1:4" x14ac:dyDescent="0.2">
      <c r="C48" s="2"/>
      <c r="D48" s="2"/>
    </row>
    <row r="49" spans="3:4" x14ac:dyDescent="0.2">
      <c r="C49" s="2"/>
      <c r="D49" s="2"/>
    </row>
    <row r="50" spans="3:4" x14ac:dyDescent="0.2">
      <c r="C50" s="2"/>
      <c r="D50" s="2"/>
    </row>
    <row r="51" spans="3:4" x14ac:dyDescent="0.2">
      <c r="C51" s="2"/>
      <c r="D51" s="2"/>
    </row>
    <row r="52" spans="3:4" x14ac:dyDescent="0.2">
      <c r="C52" s="2"/>
      <c r="D52" s="2"/>
    </row>
    <row r="53" spans="3:4" x14ac:dyDescent="0.2">
      <c r="C53" s="2"/>
      <c r="D53" s="2"/>
    </row>
    <row r="54" spans="3:4" x14ac:dyDescent="0.2">
      <c r="C54" s="2"/>
      <c r="D54" s="2"/>
    </row>
    <row r="55" spans="3:4" x14ac:dyDescent="0.2">
      <c r="C55" s="2"/>
      <c r="D55" s="2"/>
    </row>
    <row r="56" spans="3:4" x14ac:dyDescent="0.2">
      <c r="C56" s="2"/>
      <c r="D56" s="2"/>
    </row>
    <row r="57" spans="3:4" x14ac:dyDescent="0.2">
      <c r="C57" s="2"/>
      <c r="D57" s="2"/>
    </row>
    <row r="58" spans="3:4" x14ac:dyDescent="0.2">
      <c r="C58" s="2"/>
      <c r="D58" s="2"/>
    </row>
    <row r="59" spans="3:4" x14ac:dyDescent="0.2">
      <c r="C59" s="2"/>
      <c r="D59" s="2"/>
    </row>
    <row r="60" spans="3:4" x14ac:dyDescent="0.2">
      <c r="C60" s="2"/>
      <c r="D60" s="2"/>
    </row>
    <row r="61" spans="3:4" x14ac:dyDescent="0.2">
      <c r="C61" s="2"/>
      <c r="D61" s="2"/>
    </row>
    <row r="62" spans="3:4" x14ac:dyDescent="0.2">
      <c r="C62" s="2"/>
      <c r="D62" s="2"/>
    </row>
    <row r="63" spans="3:4" x14ac:dyDescent="0.2">
      <c r="C63" s="2"/>
      <c r="D63" s="2"/>
    </row>
    <row r="64" spans="3:4" x14ac:dyDescent="0.2">
      <c r="C64" s="2"/>
      <c r="D64" s="2"/>
    </row>
    <row r="65" spans="3:4" x14ac:dyDescent="0.2">
      <c r="C65" s="2"/>
      <c r="D65" s="2"/>
    </row>
    <row r="66" spans="3:4" x14ac:dyDescent="0.2">
      <c r="C66" s="2"/>
      <c r="D66" s="2"/>
    </row>
    <row r="67" spans="3:4" x14ac:dyDescent="0.2">
      <c r="C67" s="2"/>
      <c r="D67" s="2"/>
    </row>
    <row r="68" spans="3:4" x14ac:dyDescent="0.2">
      <c r="C68" s="2"/>
      <c r="D68" s="2"/>
    </row>
    <row r="69" spans="3:4" x14ac:dyDescent="0.2">
      <c r="C69" s="2"/>
      <c r="D69" s="2"/>
    </row>
    <row r="70" spans="3:4" x14ac:dyDescent="0.2">
      <c r="C70" s="2"/>
      <c r="D70" s="2"/>
    </row>
    <row r="71" spans="3:4" x14ac:dyDescent="0.2">
      <c r="C71" s="2"/>
      <c r="D71" s="2"/>
    </row>
    <row r="72" spans="3:4" x14ac:dyDescent="0.2">
      <c r="C72" s="2"/>
      <c r="D72" s="2"/>
    </row>
    <row r="73" spans="3:4" x14ac:dyDescent="0.2">
      <c r="C73" s="2"/>
      <c r="D73" s="2"/>
    </row>
    <row r="74" spans="3:4" x14ac:dyDescent="0.2">
      <c r="C74" s="2"/>
      <c r="D74" s="2"/>
    </row>
    <row r="75" spans="3:4" x14ac:dyDescent="0.2">
      <c r="C75" s="2"/>
      <c r="D75" s="2"/>
    </row>
    <row r="76" spans="3:4" x14ac:dyDescent="0.2">
      <c r="C76" s="2"/>
      <c r="D76" s="2"/>
    </row>
    <row r="77" spans="3:4" x14ac:dyDescent="0.2">
      <c r="C77" s="2"/>
      <c r="D77" s="2"/>
    </row>
    <row r="78" spans="3:4" x14ac:dyDescent="0.2">
      <c r="C78" s="2"/>
      <c r="D78" s="2"/>
    </row>
    <row r="79" spans="3:4" x14ac:dyDescent="0.2">
      <c r="C79" s="2"/>
      <c r="D79" s="2"/>
    </row>
    <row r="80" spans="3:4" x14ac:dyDescent="0.2">
      <c r="C80" s="2"/>
      <c r="D80" s="2"/>
    </row>
    <row r="81" spans="3:4" x14ac:dyDescent="0.2">
      <c r="C81" s="2"/>
      <c r="D81" s="2"/>
    </row>
    <row r="82" spans="3:4" x14ac:dyDescent="0.2">
      <c r="C82" s="2"/>
      <c r="D82" s="2"/>
    </row>
    <row r="83" spans="3:4" x14ac:dyDescent="0.2">
      <c r="C83" s="2"/>
      <c r="D83" s="2"/>
    </row>
    <row r="84" spans="3:4" x14ac:dyDescent="0.2">
      <c r="C84" s="2"/>
      <c r="D84" s="2"/>
    </row>
    <row r="85" spans="3:4" x14ac:dyDescent="0.2">
      <c r="C85" s="2"/>
      <c r="D85" s="2"/>
    </row>
    <row r="86" spans="3:4" x14ac:dyDescent="0.2">
      <c r="C86" s="2"/>
      <c r="D86" s="2"/>
    </row>
    <row r="87" spans="3:4" x14ac:dyDescent="0.2">
      <c r="C87" s="2"/>
      <c r="D87" s="2"/>
    </row>
    <row r="88" spans="3:4" x14ac:dyDescent="0.2">
      <c r="C88" s="2"/>
      <c r="D88" s="2"/>
    </row>
    <row r="89" spans="3:4" x14ac:dyDescent="0.2">
      <c r="C89" s="2"/>
      <c r="D89" s="2"/>
    </row>
    <row r="90" spans="3:4" x14ac:dyDescent="0.2">
      <c r="C90" s="2"/>
      <c r="D90" s="2"/>
    </row>
    <row r="91" spans="3:4" x14ac:dyDescent="0.2">
      <c r="C91" s="2"/>
      <c r="D91" s="2"/>
    </row>
    <row r="92" spans="3:4" x14ac:dyDescent="0.2">
      <c r="C92" s="2"/>
      <c r="D92" s="2"/>
    </row>
    <row r="93" spans="3:4" x14ac:dyDescent="0.2">
      <c r="C93" s="2"/>
      <c r="D93" s="2"/>
    </row>
    <row r="94" spans="3:4" x14ac:dyDescent="0.2">
      <c r="C94" s="2"/>
      <c r="D94" s="2"/>
    </row>
    <row r="95" spans="3:4" x14ac:dyDescent="0.2">
      <c r="C95" s="2"/>
      <c r="D95" s="2"/>
    </row>
    <row r="96" spans="3:4" x14ac:dyDescent="0.2">
      <c r="C96" s="2"/>
      <c r="D96" s="2"/>
    </row>
    <row r="97" spans="3:4" x14ac:dyDescent="0.2">
      <c r="C97" s="2"/>
      <c r="D97" s="2"/>
    </row>
    <row r="98" spans="3:4" x14ac:dyDescent="0.2">
      <c r="C98" s="2"/>
      <c r="D98" s="2"/>
    </row>
    <row r="99" spans="3:4" x14ac:dyDescent="0.2">
      <c r="C99" s="2"/>
      <c r="D99" s="2"/>
    </row>
    <row r="100" spans="3:4" x14ac:dyDescent="0.2">
      <c r="C100" s="2"/>
      <c r="D100" s="2"/>
    </row>
    <row r="101" spans="3:4" x14ac:dyDescent="0.2">
      <c r="C101" s="2"/>
      <c r="D101" s="2"/>
    </row>
    <row r="102" spans="3:4" x14ac:dyDescent="0.2">
      <c r="C102" s="2"/>
      <c r="D102" s="2"/>
    </row>
    <row r="103" spans="3:4" x14ac:dyDescent="0.2">
      <c r="C103" s="2"/>
      <c r="D103" s="2"/>
    </row>
    <row r="104" spans="3:4" x14ac:dyDescent="0.2">
      <c r="C104" s="2"/>
      <c r="D104" s="2"/>
    </row>
    <row r="105" spans="3:4" x14ac:dyDescent="0.2">
      <c r="C105" s="2"/>
      <c r="D105" s="2"/>
    </row>
    <row r="106" spans="3:4" x14ac:dyDescent="0.2">
      <c r="C106" s="2"/>
      <c r="D106" s="2"/>
    </row>
    <row r="107" spans="3:4" x14ac:dyDescent="0.2">
      <c r="C107" s="2"/>
      <c r="D107" s="2"/>
    </row>
    <row r="108" spans="3:4" x14ac:dyDescent="0.2">
      <c r="C108" s="2"/>
      <c r="D108" s="2"/>
    </row>
    <row r="109" spans="3:4" x14ac:dyDescent="0.2">
      <c r="C109" s="2"/>
      <c r="D109" s="2"/>
    </row>
    <row r="110" spans="3:4" x14ac:dyDescent="0.2">
      <c r="C110" s="2"/>
      <c r="D110" s="2"/>
    </row>
  </sheetData>
  <mergeCells count="3">
    <mergeCell ref="A1:D1"/>
    <mergeCell ref="A2:D2"/>
    <mergeCell ref="A3:D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 Ledger</vt:lpstr>
      <vt:lpstr>T-Accounts</vt:lpstr>
      <vt:lpstr>Adjusting &amp; Closing Entries</vt:lpstr>
      <vt:lpstr>Trial Balance</vt:lpstr>
      <vt:lpstr>Income Statement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User</dc:creator>
  <cp:lastModifiedBy>Microsoft Office User</cp:lastModifiedBy>
  <cp:lastPrinted>2012-05-04T03:01:11Z</cp:lastPrinted>
  <dcterms:created xsi:type="dcterms:W3CDTF">2012-05-04T01:08:31Z</dcterms:created>
  <dcterms:modified xsi:type="dcterms:W3CDTF">2020-10-14T17:26:50Z</dcterms:modified>
</cp:coreProperties>
</file>
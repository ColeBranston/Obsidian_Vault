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ackpeplinski/Desktop/SOP/BUS_2257/"/>
    </mc:Choice>
  </mc:AlternateContent>
  <xr:revisionPtr revIDLastSave="0" documentId="13_ncr:1_{126F0AA8-E5D1-F242-B774-4496119A8361}" xr6:coauthVersionLast="45" xr6:coauthVersionMax="45" xr10:uidLastSave="{00000000-0000-0000-0000-000000000000}"/>
  <bookViews>
    <workbookView xWindow="0" yWindow="460" windowWidth="28800" windowHeight="16200" xr2:uid="{00000000-000D-0000-FFFF-FFFF00000000}"/>
  </bookViews>
  <sheets>
    <sheet name="Working T Accounts" sheetId="8" r:id="rId1"/>
    <sheet name="Sheet1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7" i="8" l="1"/>
  <c r="G31" i="8"/>
  <c r="A15" i="8"/>
  <c r="L10" i="8" l="1"/>
  <c r="E36" i="8" l="1"/>
  <c r="J11" i="8"/>
  <c r="D35" i="8"/>
  <c r="B24" i="8" l="1"/>
  <c r="A20" i="8"/>
  <c r="A6" i="8" l="1"/>
  <c r="A7" i="8" s="1"/>
  <c r="A8" i="8"/>
  <c r="A11" i="8"/>
  <c r="B12" i="8" s="1"/>
  <c r="A17" i="8"/>
  <c r="G17" i="8" s="1"/>
  <c r="K8" i="8" s="1"/>
  <c r="L8" i="8" s="1"/>
  <c r="A19" i="8"/>
  <c r="A21" i="8"/>
  <c r="B23" i="8"/>
  <c r="A25" i="8" s="1"/>
  <c r="A28" i="8"/>
  <c r="A30" i="8" s="1"/>
  <c r="A31" i="8" s="1"/>
  <c r="A29" i="8"/>
  <c r="D9" i="8"/>
  <c r="D33" i="8" s="1"/>
  <c r="D13" i="8"/>
  <c r="D17" i="8"/>
  <c r="D19" i="8"/>
  <c r="D26" i="8"/>
  <c r="D28" i="8"/>
  <c r="D31" i="8"/>
  <c r="I35" i="8"/>
  <c r="I27" i="8"/>
  <c r="E31" i="8"/>
  <c r="E28" i="8"/>
  <c r="E26" i="8"/>
  <c r="E19" i="8"/>
  <c r="E17" i="8"/>
  <c r="E15" i="8"/>
  <c r="E13" i="8"/>
  <c r="E11" i="8"/>
  <c r="E9" i="8"/>
  <c r="E6" i="8"/>
  <c r="G4" i="8"/>
  <c r="F20" i="9" l="1"/>
  <c r="G21" i="9" s="1"/>
  <c r="I31" i="8"/>
  <c r="A9" i="8"/>
  <c r="F12" i="9"/>
  <c r="G13" i="9" s="1"/>
  <c r="B22" i="8"/>
  <c r="A26" i="8" s="1"/>
  <c r="A13" i="8"/>
  <c r="G26" i="8" l="1"/>
  <c r="L9" i="8" s="1"/>
  <c r="F16" i="9"/>
  <c r="G17" i="9" s="1"/>
  <c r="F8" i="9"/>
  <c r="G9" i="9" s="1"/>
  <c r="G13" i="8"/>
  <c r="A33" i="8"/>
  <c r="G9" i="8"/>
  <c r="K7" i="8" s="1"/>
  <c r="L7" i="8" s="1"/>
  <c r="L11" i="8" s="1"/>
  <c r="A35" i="8" s="1"/>
  <c r="B34" i="8" s="1"/>
  <c r="F4" i="9"/>
  <c r="G5" i="9" s="1"/>
  <c r="J22" i="8" l="1"/>
  <c r="I39" i="8" s="1"/>
  <c r="J13" i="8"/>
  <c r="J16" i="8" s="1"/>
  <c r="K17" i="8" s="1"/>
</calcChain>
</file>

<file path=xl/sharedStrings.xml><?xml version="1.0" encoding="utf-8"?>
<sst xmlns="http://schemas.openxmlformats.org/spreadsheetml/2006/main" count="80" uniqueCount="64">
  <si>
    <t>Inventory ($)</t>
  </si>
  <si>
    <t>Inventory (Units)</t>
  </si>
  <si>
    <t>$/Unit</t>
  </si>
  <si>
    <t>O/B</t>
  </si>
  <si>
    <t>Duty</t>
  </si>
  <si>
    <t>Discounts</t>
  </si>
  <si>
    <t>Freight</t>
  </si>
  <si>
    <t>Return</t>
  </si>
  <si>
    <t>Return Duty</t>
  </si>
  <si>
    <t>Up-In-Smoke Corporation</t>
  </si>
  <si>
    <t>R. Discount</t>
  </si>
  <si>
    <t>#1002</t>
  </si>
  <si>
    <t>T #1002</t>
  </si>
  <si>
    <t>#2003</t>
  </si>
  <si>
    <t>T #2003</t>
  </si>
  <si>
    <t>T #3005</t>
  </si>
  <si>
    <t>#3005</t>
  </si>
  <si>
    <t>T #3004</t>
  </si>
  <si>
    <t>#3004</t>
  </si>
  <si>
    <t>T #1001</t>
  </si>
  <si>
    <t>#1001</t>
  </si>
  <si>
    <t>Purchase #1001</t>
  </si>
  <si>
    <t>Dr Inventory</t>
  </si>
  <si>
    <t>Cr Cash</t>
  </si>
  <si>
    <t>Purchase #3004</t>
  </si>
  <si>
    <t>Purchase #3005</t>
  </si>
  <si>
    <t>Purchase #2003</t>
  </si>
  <si>
    <t>Purchase #1002</t>
  </si>
  <si>
    <t>Cr Accounts Payable</t>
  </si>
  <si>
    <t>UP - IN - SMOKE</t>
  </si>
  <si>
    <t>SPECIFIC IDENTIFICATION</t>
  </si>
  <si>
    <t>ENDING INVENTORY:</t>
  </si>
  <si>
    <t>PURCHASE #1001</t>
  </si>
  <si>
    <t>PURCHASE #3005</t>
  </si>
  <si>
    <t>PURCHASE #2003</t>
  </si>
  <si>
    <t>PURCHASE #1002</t>
  </si>
  <si>
    <t># OF UNITS</t>
  </si>
  <si>
    <t>UNIT PRICE</t>
  </si>
  <si>
    <t>PORTION OF E/I</t>
  </si>
  <si>
    <t>1650 (ALL)</t>
  </si>
  <si>
    <t>TOTAL ENDING INVENTORY</t>
  </si>
  <si>
    <t>COST OF GOODS SOLD:</t>
  </si>
  <si>
    <t>(COGAFS - E/I)</t>
  </si>
  <si>
    <t>DR Cost of Goods Sold Expense</t>
  </si>
  <si>
    <t>CR Inventory</t>
  </si>
  <si>
    <t>COST OF STOLEN CIGARS</t>
  </si>
  <si>
    <t>AVERAGE UNIT COST:</t>
  </si>
  <si>
    <t>(COGAFS/UAFS)</t>
  </si>
  <si>
    <t>ENDING INVENTORY IN UNITS:</t>
  </si>
  <si>
    <t>2,608 (physically there) + 1,650 (in transit)</t>
  </si>
  <si>
    <t>UNITS SOLD/STOLEN</t>
  </si>
  <si>
    <t>UAFS - E/I IN UNITS</t>
  </si>
  <si>
    <t>NUMBER OF STOLEN CIGARS:</t>
  </si>
  <si>
    <t>UNITS SOLD/STOLEN - UNITS SOLD</t>
  </si>
  <si>
    <t>AVERAGE UNIT COST * # STOLEN</t>
  </si>
  <si>
    <t>E/B from Specific ID</t>
  </si>
  <si>
    <t>Sold (given)</t>
  </si>
  <si>
    <t>T/B</t>
  </si>
  <si>
    <t>E/B from Specific ID+In-transit</t>
  </si>
  <si>
    <t>COGAFS (sum)</t>
  </si>
  <si>
    <t>UAFS (sum)</t>
  </si>
  <si>
    <t>COGS (dif)</t>
  </si>
  <si>
    <t>Stolen (dif)</t>
  </si>
  <si>
    <t>Write down unit price to LCNRV of 18.000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</si>
</sst>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"/>
    <numFmt numFmtId="167" formatCode="_(* #,##0_);_(* \(#,##0\);_(* &quot;-&quot;??_);_(@_)"/>
    <numFmt numFmtId="168" formatCode="_-* #,##0.000_-;\-* #,##0.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5">
    <xf numFmtId="0" fontId="0" fillId="0" borderId="0" xfId="0"/>
    <xf numFmtId="165" fontId="0" fillId="0" borderId="0" xfId="1" applyNumberFormat="1" applyFont="1"/>
    <xf numFmtId="0" fontId="0" fillId="0" borderId="4" xfId="0" applyBorder="1"/>
    <xf numFmtId="0" fontId="0" fillId="0" borderId="5" xfId="0" applyBorder="1"/>
    <xf numFmtId="1" fontId="0" fillId="0" borderId="4" xfId="0" applyNumberFormat="1" applyBorder="1"/>
    <xf numFmtId="0" fontId="0" fillId="0" borderId="7" xfId="0" applyBorder="1"/>
    <xf numFmtId="0" fontId="0" fillId="0" borderId="8" xfId="0" applyBorder="1"/>
    <xf numFmtId="165" fontId="0" fillId="0" borderId="4" xfId="1" applyNumberFormat="1" applyFont="1" applyBorder="1"/>
    <xf numFmtId="165" fontId="0" fillId="0" borderId="0" xfId="0" applyNumberFormat="1"/>
    <xf numFmtId="0" fontId="0" fillId="0" borderId="9" xfId="0" applyBorder="1"/>
    <xf numFmtId="165" fontId="0" fillId="0" borderId="9" xfId="1" applyNumberFormat="1" applyFont="1" applyBorder="1"/>
    <xf numFmtId="0" fontId="0" fillId="0" borderId="6" xfId="0" applyBorder="1"/>
    <xf numFmtId="165" fontId="0" fillId="0" borderId="0" xfId="0" applyNumberFormat="1" applyFill="1" applyBorder="1"/>
    <xf numFmtId="165" fontId="0" fillId="0" borderId="4" xfId="0" applyNumberFormat="1" applyBorder="1"/>
    <xf numFmtId="165" fontId="0" fillId="0" borderId="3" xfId="0" applyNumberFormat="1" applyBorder="1"/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" fontId="0" fillId="0" borderId="0" xfId="0" applyNumberFormat="1" applyBorder="1"/>
    <xf numFmtId="165" fontId="0" fillId="0" borderId="7" xfId="0" applyNumberFormat="1" applyFill="1" applyBorder="1"/>
    <xf numFmtId="165" fontId="0" fillId="0" borderId="0" xfId="0" applyNumberFormat="1" applyAlignment="1">
      <alignment horizontal="left" indent="2"/>
    </xf>
    <xf numFmtId="0" fontId="0" fillId="0" borderId="0" xfId="0" applyFont="1"/>
    <xf numFmtId="165" fontId="1" fillId="0" borderId="3" xfId="1" applyNumberFormat="1" applyFont="1" applyBorder="1"/>
    <xf numFmtId="165" fontId="1" fillId="0" borderId="0" xfId="1" applyNumberFormat="1" applyFont="1"/>
    <xf numFmtId="0" fontId="0" fillId="0" borderId="3" xfId="0" applyFont="1" applyBorder="1"/>
    <xf numFmtId="165" fontId="1" fillId="0" borderId="0" xfId="1" applyNumberFormat="1" applyFont="1" applyBorder="1"/>
    <xf numFmtId="165" fontId="1" fillId="0" borderId="7" xfId="1" applyNumberFormat="1" applyFont="1" applyBorder="1"/>
    <xf numFmtId="0" fontId="0" fillId="0" borderId="0" xfId="0" applyFont="1" applyBorder="1"/>
    <xf numFmtId="0" fontId="0" fillId="0" borderId="4" xfId="0" applyFont="1" applyBorder="1"/>
    <xf numFmtId="0" fontId="0" fillId="0" borderId="7" xfId="0" applyFont="1" applyBorder="1"/>
    <xf numFmtId="165" fontId="1" fillId="0" borderId="4" xfId="1" applyNumberFormat="1" applyFont="1" applyBorder="1"/>
    <xf numFmtId="165" fontId="0" fillId="0" borderId="0" xfId="0" applyNumberFormat="1" applyFont="1"/>
    <xf numFmtId="165" fontId="1" fillId="0" borderId="6" xfId="1" applyNumberFormat="1" applyFont="1" applyBorder="1"/>
    <xf numFmtId="0" fontId="0" fillId="0" borderId="9" xfId="0" applyFont="1" applyBorder="1"/>
    <xf numFmtId="165" fontId="0" fillId="0" borderId="5" xfId="0" applyNumberFormat="1" applyBorder="1"/>
    <xf numFmtId="167" fontId="1" fillId="0" borderId="4" xfId="1" applyNumberFormat="1" applyFont="1" applyBorder="1"/>
    <xf numFmtId="167" fontId="0" fillId="0" borderId="6" xfId="1" applyNumberFormat="1" applyFont="1" applyBorder="1" applyAlignment="1">
      <alignment horizontal="left"/>
    </xf>
    <xf numFmtId="167" fontId="0" fillId="0" borderId="0" xfId="0" applyNumberFormat="1" applyFill="1" applyBorder="1"/>
    <xf numFmtId="168" fontId="0" fillId="0" borderId="0" xfId="0" applyNumberFormat="1"/>
    <xf numFmtId="43" fontId="0" fillId="0" borderId="0" xfId="0" applyNumberFormat="1"/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166" fontId="0" fillId="0" borderId="0" xfId="0" applyNumberFormat="1"/>
    <xf numFmtId="165" fontId="2" fillId="0" borderId="0" xfId="1" applyNumberFormat="1" applyFont="1"/>
    <xf numFmtId="165" fontId="2" fillId="0" borderId="0" xfId="0" applyNumberFormat="1" applyFont="1" applyAlignment="1">
      <alignment horizontal="left"/>
    </xf>
    <xf numFmtId="0" fontId="0" fillId="0" borderId="0" xfId="0" applyAlignment="1">
      <alignment horizontal="left" indent="1"/>
    </xf>
    <xf numFmtId="166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2" fontId="0" fillId="0" borderId="0" xfId="0" applyNumberFormat="1"/>
    <xf numFmtId="0" fontId="0" fillId="0" borderId="6" xfId="0" applyFont="1" applyBorder="1"/>
    <xf numFmtId="0" fontId="0" fillId="0" borderId="5" xfId="0" applyBorder="1" applyAlignment="1">
      <alignment horizontal="center"/>
    </xf>
    <xf numFmtId="165" fontId="0" fillId="0" borderId="9" xfId="0" applyNumberFormat="1" applyBorder="1"/>
    <xf numFmtId="0" fontId="6" fillId="0" borderId="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66" fontId="0" fillId="0" borderId="2" xfId="0" applyNumberFormat="1" applyFont="1" applyBorder="1" applyAlignment="1">
      <alignment horizontal="center"/>
    </xf>
    <xf numFmtId="166" fontId="0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center"/>
    </xf>
    <xf numFmtId="165" fontId="2" fillId="0" borderId="4" xfId="1" applyNumberFormat="1" applyFont="1" applyBorder="1"/>
    <xf numFmtId="165" fontId="2" fillId="0" borderId="8" xfId="1" applyNumberFormat="1" applyFont="1" applyBorder="1"/>
    <xf numFmtId="165" fontId="2" fillId="0" borderId="3" xfId="1" applyNumberFormat="1" applyFont="1" applyBorder="1"/>
    <xf numFmtId="0" fontId="2" fillId="0" borderId="0" xfId="0" applyFont="1"/>
    <xf numFmtId="0" fontId="2" fillId="0" borderId="3" xfId="0" applyFont="1" applyBorder="1"/>
    <xf numFmtId="165" fontId="2" fillId="0" borderId="8" xfId="0" applyNumberFormat="1" applyFont="1" applyBorder="1"/>
    <xf numFmtId="165" fontId="2" fillId="0" borderId="0" xfId="0" applyNumberFormat="1" applyFont="1"/>
    <xf numFmtId="165" fontId="2" fillId="0" borderId="4" xfId="0" applyNumberFormat="1" applyFont="1" applyBorder="1"/>
    <xf numFmtId="165" fontId="2" fillId="0" borderId="0" xfId="0" applyNumberFormat="1" applyFont="1" applyFill="1" applyBorder="1"/>
    <xf numFmtId="0" fontId="2" fillId="0" borderId="4" xfId="0" applyFont="1" applyBorder="1"/>
    <xf numFmtId="165" fontId="2" fillId="0" borderId="8" xfId="0" applyNumberFormat="1" applyFont="1" applyFill="1" applyBorder="1"/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showWhiteSpace="0" view="pageLayout" topLeftCell="A2" zoomScale="89" zoomScalePageLayoutView="89" workbookViewId="0">
      <selection activeCell="D38" sqref="D38"/>
    </sheetView>
  </sheetViews>
  <sheetFormatPr baseColWidth="10" defaultColWidth="11.5" defaultRowHeight="15" x14ac:dyDescent="0.2"/>
  <cols>
    <col min="1" max="1" width="12.83203125" bestFit="1" customWidth="1"/>
    <col min="2" max="2" width="13" customWidth="1"/>
    <col min="3" max="3" width="7" customWidth="1"/>
    <col min="6" max="6" width="9.1640625" customWidth="1"/>
    <col min="7" max="7" width="11.5" customWidth="1"/>
    <col min="9" max="9" width="24.83203125" customWidth="1"/>
    <col min="12" max="12" width="13.83203125" customWidth="1"/>
  </cols>
  <sheetData>
    <row r="1" spans="1:16" ht="22" thickBot="1" x14ac:dyDescent="0.3">
      <c r="A1" s="54" t="s">
        <v>29</v>
      </c>
      <c r="B1" s="54"/>
      <c r="C1" s="54"/>
      <c r="D1" s="54"/>
      <c r="E1" s="54"/>
      <c r="F1" s="54"/>
      <c r="G1" s="54"/>
      <c r="H1" s="54"/>
      <c r="I1" s="54" t="s">
        <v>29</v>
      </c>
      <c r="J1" s="54"/>
      <c r="K1" s="54"/>
      <c r="L1" s="54"/>
      <c r="M1" s="54"/>
      <c r="N1" s="54"/>
      <c r="O1" s="54"/>
      <c r="P1" s="54"/>
    </row>
    <row r="2" spans="1:16" x14ac:dyDescent="0.2">
      <c r="A2" s="20"/>
      <c r="B2" s="20"/>
      <c r="C2" s="20"/>
      <c r="D2" s="20"/>
      <c r="E2" s="20"/>
      <c r="F2" s="20"/>
      <c r="G2" s="20"/>
      <c r="H2" s="20"/>
    </row>
    <row r="3" spans="1:16" x14ac:dyDescent="0.2">
      <c r="A3" s="56" t="s">
        <v>0</v>
      </c>
      <c r="B3" s="56"/>
      <c r="C3" s="20"/>
      <c r="D3" s="56" t="s">
        <v>1</v>
      </c>
      <c r="E3" s="56"/>
      <c r="F3" s="20"/>
      <c r="G3" s="56" t="s">
        <v>2</v>
      </c>
      <c r="H3" s="56"/>
      <c r="I3" s="41" t="s">
        <v>30</v>
      </c>
    </row>
    <row r="4" spans="1:16" x14ac:dyDescent="0.2">
      <c r="A4" s="21">
        <v>47438</v>
      </c>
      <c r="B4" s="22" t="s">
        <v>3</v>
      </c>
      <c r="C4" s="20"/>
      <c r="D4" s="23">
        <v>2875</v>
      </c>
      <c r="E4" s="20" t="s">
        <v>3</v>
      </c>
      <c r="F4" s="20"/>
      <c r="G4" s="57">
        <f>A4/D4</f>
        <v>16.500173913043479</v>
      </c>
      <c r="H4" s="57"/>
    </row>
    <row r="5" spans="1:16" x14ac:dyDescent="0.2">
      <c r="A5" s="24"/>
      <c r="B5" s="25"/>
      <c r="C5" s="26"/>
      <c r="D5" s="27"/>
      <c r="E5" s="28"/>
      <c r="F5" s="20"/>
      <c r="G5" s="55"/>
      <c r="H5" s="55"/>
      <c r="I5" t="s">
        <v>31</v>
      </c>
      <c r="K5" t="s">
        <v>63</v>
      </c>
    </row>
    <row r="6" spans="1:16" x14ac:dyDescent="0.2">
      <c r="A6" s="29">
        <f>375*52</f>
        <v>19500</v>
      </c>
      <c r="B6" s="1" t="s">
        <v>20</v>
      </c>
      <c r="C6" s="20"/>
      <c r="D6" s="27">
        <v>1300</v>
      </c>
      <c r="E6" s="30" t="str">
        <f>B6</f>
        <v>#1001</v>
      </c>
      <c r="F6" s="20"/>
      <c r="G6" s="55"/>
      <c r="H6" s="55"/>
      <c r="J6" s="40" t="s">
        <v>36</v>
      </c>
      <c r="K6" s="40" t="s">
        <v>37</v>
      </c>
      <c r="L6" s="40" t="s">
        <v>38</v>
      </c>
    </row>
    <row r="7" spans="1:16" x14ac:dyDescent="0.2">
      <c r="A7" s="34">
        <f>A6*0.09</f>
        <v>1755</v>
      </c>
      <c r="B7" s="22" t="s">
        <v>4</v>
      </c>
      <c r="C7" s="20"/>
      <c r="D7" s="27"/>
      <c r="E7" s="20"/>
      <c r="F7" s="20"/>
      <c r="G7" s="55"/>
      <c r="H7" s="55"/>
      <c r="I7" t="s">
        <v>32</v>
      </c>
      <c r="J7" s="40">
        <v>440</v>
      </c>
      <c r="K7" s="42">
        <f>G9</f>
        <v>16.371200000000002</v>
      </c>
      <c r="L7">
        <f>J7*K7</f>
        <v>7203.3280000000004</v>
      </c>
    </row>
    <row r="8" spans="1:16" x14ac:dyDescent="0.2">
      <c r="A8" s="31">
        <f>0.53*52</f>
        <v>27.560000000000002</v>
      </c>
      <c r="B8" s="22" t="s">
        <v>6</v>
      </c>
      <c r="C8" s="20"/>
      <c r="D8" s="27"/>
      <c r="E8" s="32"/>
      <c r="F8" s="20"/>
      <c r="G8" s="55"/>
      <c r="H8" s="55"/>
      <c r="I8" t="s">
        <v>33</v>
      </c>
      <c r="J8" s="40">
        <v>929</v>
      </c>
      <c r="K8" s="42">
        <f>G17</f>
        <v>15.6</v>
      </c>
      <c r="L8" s="50">
        <f t="shared" ref="L8:L9" si="0">J8*K8</f>
        <v>14492.4</v>
      </c>
    </row>
    <row r="9" spans="1:16" x14ac:dyDescent="0.2">
      <c r="A9" s="64">
        <f>SUM(A6:A8)-SUM(B6:B8)</f>
        <v>21282.560000000001</v>
      </c>
      <c r="B9" s="65" t="s">
        <v>19</v>
      </c>
      <c r="C9" s="20"/>
      <c r="D9" s="68">
        <f>D6</f>
        <v>1300</v>
      </c>
      <c r="E9" s="70" t="str">
        <f>B9</f>
        <v>T #1001</v>
      </c>
      <c r="F9" s="20"/>
      <c r="G9" s="58">
        <f>A9/D9</f>
        <v>16.371200000000002</v>
      </c>
      <c r="H9" s="58"/>
      <c r="I9" t="s">
        <v>34</v>
      </c>
      <c r="J9" s="40">
        <v>1239</v>
      </c>
      <c r="K9" s="42">
        <v>18</v>
      </c>
      <c r="L9" s="50">
        <f t="shared" si="0"/>
        <v>22302</v>
      </c>
    </row>
    <row r="10" spans="1:16" x14ac:dyDescent="0.2">
      <c r="A10" s="29"/>
      <c r="B10" s="22"/>
      <c r="C10" s="20"/>
      <c r="D10" s="27"/>
      <c r="E10" s="20"/>
      <c r="F10" s="20"/>
      <c r="G10" s="55"/>
      <c r="H10" s="55"/>
      <c r="I10" t="s">
        <v>35</v>
      </c>
      <c r="J10" s="52" t="s">
        <v>39</v>
      </c>
      <c r="K10" s="42">
        <v>18</v>
      </c>
      <c r="L10" s="33">
        <f>1650*K10</f>
        <v>29700</v>
      </c>
    </row>
    <row r="11" spans="1:16" x14ac:dyDescent="0.2">
      <c r="A11" s="7">
        <f>415*67</f>
        <v>27805</v>
      </c>
      <c r="B11" s="1" t="s">
        <v>18</v>
      </c>
      <c r="D11" s="2">
        <v>1675</v>
      </c>
      <c r="E11" s="8" t="str">
        <f>B11</f>
        <v>#3004</v>
      </c>
      <c r="G11" s="59"/>
      <c r="H11" s="59"/>
      <c r="I11" t="s">
        <v>40</v>
      </c>
      <c r="J11">
        <f>SUM(J7:J10)</f>
        <v>2608</v>
      </c>
      <c r="L11" s="43">
        <f>SUM(L7:L10)</f>
        <v>73697.728000000003</v>
      </c>
    </row>
    <row r="12" spans="1:16" x14ac:dyDescent="0.2">
      <c r="A12" s="7" t="s">
        <v>5</v>
      </c>
      <c r="B12" s="10">
        <f>A11*0.02</f>
        <v>556.1</v>
      </c>
      <c r="D12" s="2"/>
      <c r="G12" s="59"/>
      <c r="H12" s="59"/>
    </row>
    <row r="13" spans="1:16" x14ac:dyDescent="0.2">
      <c r="A13" s="66">
        <f>A11-B12</f>
        <v>27248.9</v>
      </c>
      <c r="B13" s="43" t="s">
        <v>17</v>
      </c>
      <c r="C13" s="67"/>
      <c r="D13" s="68">
        <f>D11</f>
        <v>1675</v>
      </c>
      <c r="E13" s="69" t="str">
        <f>B13</f>
        <v>T #3004</v>
      </c>
      <c r="G13" s="60">
        <f>A13/D13</f>
        <v>16.268000000000001</v>
      </c>
      <c r="H13" s="60"/>
      <c r="I13" t="s">
        <v>41</v>
      </c>
      <c r="J13" s="44">
        <f>A33-L11</f>
        <v>111655.92199999999</v>
      </c>
    </row>
    <row r="14" spans="1:16" x14ac:dyDescent="0.2">
      <c r="A14" s="7"/>
      <c r="B14" s="1"/>
      <c r="D14" s="2"/>
      <c r="G14" s="59"/>
      <c r="H14" s="59"/>
      <c r="I14" t="s">
        <v>42</v>
      </c>
    </row>
    <row r="15" spans="1:16" x14ac:dyDescent="0.2">
      <c r="A15" s="7">
        <f>390*74</f>
        <v>28860</v>
      </c>
      <c r="B15" s="1" t="s">
        <v>16</v>
      </c>
      <c r="D15" s="2">
        <v>1850</v>
      </c>
      <c r="E15" s="8" t="str">
        <f>B15</f>
        <v>#3005</v>
      </c>
      <c r="G15" s="59"/>
      <c r="H15" s="59"/>
    </row>
    <row r="16" spans="1:16" x14ac:dyDescent="0.2">
      <c r="A16" s="11"/>
      <c r="B16" s="33"/>
      <c r="D16" s="11"/>
      <c r="E16" s="3"/>
      <c r="G16" s="59"/>
      <c r="H16" s="59"/>
      <c r="I16" t="s">
        <v>43</v>
      </c>
      <c r="J16" s="8">
        <f>J13</f>
        <v>111655.92199999999</v>
      </c>
    </row>
    <row r="17" spans="1:11" x14ac:dyDescent="0.2">
      <c r="A17" s="71">
        <f>A15-B16</f>
        <v>28860</v>
      </c>
      <c r="B17" s="72" t="s">
        <v>15</v>
      </c>
      <c r="C17" s="67"/>
      <c r="D17" s="73">
        <f>D15</f>
        <v>1850</v>
      </c>
      <c r="E17" s="70" t="str">
        <f>B17</f>
        <v>T #3005</v>
      </c>
      <c r="G17" s="60">
        <f>A17/D17</f>
        <v>15.6</v>
      </c>
      <c r="H17" s="60"/>
      <c r="I17" s="45" t="s">
        <v>44</v>
      </c>
      <c r="K17" s="8">
        <f>J16</f>
        <v>111655.92199999999</v>
      </c>
    </row>
    <row r="18" spans="1:11" x14ac:dyDescent="0.2">
      <c r="A18" s="2"/>
      <c r="D18" s="2"/>
      <c r="G18" s="59"/>
      <c r="H18" s="59"/>
    </row>
    <row r="19" spans="1:11" x14ac:dyDescent="0.2">
      <c r="A19" s="2">
        <f>455*64</f>
        <v>29120</v>
      </c>
      <c r="B19" s="12" t="s">
        <v>13</v>
      </c>
      <c r="D19" s="2">
        <f>64*25</f>
        <v>1600</v>
      </c>
      <c r="E19" s="8" t="str">
        <f>B19</f>
        <v>#2003</v>
      </c>
      <c r="G19" s="59"/>
      <c r="H19" s="59"/>
    </row>
    <row r="20" spans="1:11" x14ac:dyDescent="0.2">
      <c r="A20" s="4">
        <f>A19*0.12</f>
        <v>3494.4</v>
      </c>
      <c r="B20" s="12" t="s">
        <v>4</v>
      </c>
      <c r="D20" s="2"/>
      <c r="G20" s="59"/>
      <c r="H20" s="59"/>
      <c r="I20" s="41" t="s">
        <v>45</v>
      </c>
    </row>
    <row r="21" spans="1:11" x14ac:dyDescent="0.2">
      <c r="A21" s="4">
        <f>64*0.53</f>
        <v>33.92</v>
      </c>
      <c r="B21" s="12" t="s">
        <v>6</v>
      </c>
      <c r="D21" s="2"/>
      <c r="G21" s="15"/>
      <c r="H21" s="15"/>
    </row>
    <row r="22" spans="1:11" x14ac:dyDescent="0.2">
      <c r="A22" s="2" t="s">
        <v>5</v>
      </c>
      <c r="B22" s="17">
        <f>A19*0.03</f>
        <v>873.6</v>
      </c>
      <c r="D22" s="2"/>
      <c r="G22" s="15"/>
      <c r="H22" s="15"/>
      <c r="I22" t="s">
        <v>46</v>
      </c>
      <c r="J22" s="46">
        <f>A33/D33</f>
        <v>17.122739030023094</v>
      </c>
    </row>
    <row r="23" spans="1:11" x14ac:dyDescent="0.2">
      <c r="A23" s="4" t="s">
        <v>7</v>
      </c>
      <c r="B23" s="18">
        <f>5*455</f>
        <v>2275</v>
      </c>
      <c r="D23" s="2" t="s">
        <v>7</v>
      </c>
      <c r="E23">
        <v>125</v>
      </c>
      <c r="G23" s="15"/>
      <c r="H23" s="15"/>
      <c r="I23" t="s">
        <v>47</v>
      </c>
    </row>
    <row r="24" spans="1:11" x14ac:dyDescent="0.2">
      <c r="A24" s="4" t="s">
        <v>8</v>
      </c>
      <c r="B24" s="36">
        <f>0.12*(B23)</f>
        <v>273</v>
      </c>
      <c r="D24" s="2"/>
      <c r="G24" s="15"/>
      <c r="H24" s="15"/>
    </row>
    <row r="25" spans="1:11" x14ac:dyDescent="0.2">
      <c r="A25" s="19">
        <f>B23*0.03</f>
        <v>68.25</v>
      </c>
      <c r="B25" s="9" t="s">
        <v>10</v>
      </c>
      <c r="D25" s="11"/>
      <c r="E25" s="3"/>
      <c r="G25" s="59"/>
      <c r="H25" s="59"/>
      <c r="I25" t="s">
        <v>48</v>
      </c>
    </row>
    <row r="26" spans="1:11" x14ac:dyDescent="0.2">
      <c r="A26" s="66">
        <f>SUM(A19:A25)-SUM(B19:B25)</f>
        <v>29294.97</v>
      </c>
      <c r="B26" s="72" t="s">
        <v>14</v>
      </c>
      <c r="C26" s="67"/>
      <c r="D26" s="73">
        <f>D19-E23</f>
        <v>1475</v>
      </c>
      <c r="E26" s="70" t="str">
        <f>B26</f>
        <v>T #2003</v>
      </c>
      <c r="G26" s="60">
        <f>A26/D26</f>
        <v>19.860996610169494</v>
      </c>
      <c r="H26" s="60"/>
      <c r="I26" s="20" t="s">
        <v>49</v>
      </c>
    </row>
    <row r="27" spans="1:11" x14ac:dyDescent="0.2">
      <c r="A27" s="7"/>
      <c r="B27" s="12"/>
      <c r="D27" s="2"/>
      <c r="E27" s="8"/>
      <c r="G27" s="16"/>
      <c r="H27" s="16"/>
      <c r="I27" s="47">
        <f>2608+1650</f>
        <v>4258</v>
      </c>
    </row>
    <row r="28" spans="1:11" x14ac:dyDescent="0.2">
      <c r="A28" s="7">
        <f>66*422</f>
        <v>27852</v>
      </c>
      <c r="B28" s="12" t="s">
        <v>11</v>
      </c>
      <c r="D28" s="2">
        <f>66*25</f>
        <v>1650</v>
      </c>
      <c r="E28" s="8" t="str">
        <f>B28</f>
        <v>#1002</v>
      </c>
      <c r="G28" s="16"/>
      <c r="H28" s="16"/>
    </row>
    <row r="29" spans="1:11" x14ac:dyDescent="0.2">
      <c r="A29" s="7">
        <f>66*0.53</f>
        <v>34.980000000000004</v>
      </c>
      <c r="B29" s="12" t="s">
        <v>6</v>
      </c>
      <c r="D29" s="2"/>
      <c r="E29" s="8"/>
      <c r="G29" s="16"/>
      <c r="H29" s="16"/>
      <c r="I29" t="s">
        <v>50</v>
      </c>
    </row>
    <row r="30" spans="1:11" x14ac:dyDescent="0.2">
      <c r="A30" s="35">
        <f>A28*0.12</f>
        <v>3342.24</v>
      </c>
      <c r="B30" s="12" t="s">
        <v>4</v>
      </c>
      <c r="D30" s="2"/>
      <c r="E30" s="8"/>
      <c r="G30" s="16"/>
      <c r="H30" s="16"/>
      <c r="I30" t="s">
        <v>51</v>
      </c>
    </row>
    <row r="31" spans="1:11" x14ac:dyDescent="0.2">
      <c r="A31" s="64">
        <f>SUM(A28:A30)</f>
        <v>31229.22</v>
      </c>
      <c r="B31" s="74" t="s">
        <v>12</v>
      </c>
      <c r="C31" s="67"/>
      <c r="D31" s="68">
        <f>D28</f>
        <v>1650</v>
      </c>
      <c r="E31" s="69" t="str">
        <f>B31</f>
        <v>T #1002</v>
      </c>
      <c r="G31" s="60">
        <f>A31/D31</f>
        <v>18.9268</v>
      </c>
      <c r="H31" s="60"/>
      <c r="I31" s="48">
        <f>D33-I27</f>
        <v>6567</v>
      </c>
    </row>
    <row r="32" spans="1:11" x14ac:dyDescent="0.2">
      <c r="A32" s="11"/>
      <c r="B32" s="9"/>
      <c r="D32" s="2"/>
      <c r="G32" s="59"/>
      <c r="H32" s="59"/>
    </row>
    <row r="33" spans="1:9" x14ac:dyDescent="0.2">
      <c r="A33" s="13">
        <f>A4+A9+A13+A17+A26+A31</f>
        <v>185353.65</v>
      </c>
      <c r="B33" s="12" t="s">
        <v>59</v>
      </c>
      <c r="D33" s="14">
        <f>D4+D9+D13+D17+D26+D31</f>
        <v>10825</v>
      </c>
      <c r="E33" s="6" t="s">
        <v>60</v>
      </c>
      <c r="G33" s="59"/>
      <c r="H33" s="59"/>
      <c r="I33" t="s">
        <v>52</v>
      </c>
    </row>
    <row r="34" spans="1:9" x14ac:dyDescent="0.2">
      <c r="A34" s="11" t="s">
        <v>61</v>
      </c>
      <c r="B34" s="33">
        <f>A33-A35</f>
        <v>111655.92199999999</v>
      </c>
      <c r="D34" s="51" t="s">
        <v>56</v>
      </c>
      <c r="E34" s="33">
        <v>6520</v>
      </c>
      <c r="G34" s="59"/>
      <c r="H34" s="59"/>
      <c r="I34" t="s">
        <v>53</v>
      </c>
    </row>
    <row r="35" spans="1:9" x14ac:dyDescent="0.2">
      <c r="A35" s="8">
        <f>L11</f>
        <v>73697.728000000003</v>
      </c>
      <c r="B35" s="5" t="s">
        <v>55</v>
      </c>
      <c r="D35" s="8">
        <f>D33-E34</f>
        <v>4305</v>
      </c>
      <c r="E35" s="5" t="s">
        <v>57</v>
      </c>
      <c r="G35" s="59"/>
      <c r="H35" s="59"/>
      <c r="I35" s="47">
        <f>6567-6520</f>
        <v>47</v>
      </c>
    </row>
    <row r="36" spans="1:9" x14ac:dyDescent="0.2">
      <c r="A36" s="8"/>
      <c r="D36" s="3" t="s">
        <v>62</v>
      </c>
      <c r="E36" s="53">
        <f>D35-D37</f>
        <v>47</v>
      </c>
      <c r="G36" s="59"/>
      <c r="H36" s="59"/>
    </row>
    <row r="37" spans="1:9" x14ac:dyDescent="0.2">
      <c r="D37">
        <f>I27</f>
        <v>4258</v>
      </c>
      <c r="E37" t="s">
        <v>58</v>
      </c>
      <c r="I37" t="s">
        <v>45</v>
      </c>
    </row>
    <row r="38" spans="1:9" x14ac:dyDescent="0.2">
      <c r="A38" s="37"/>
      <c r="C38" s="38"/>
      <c r="I38" t="s">
        <v>54</v>
      </c>
    </row>
    <row r="39" spans="1:9" x14ac:dyDescent="0.2">
      <c r="I39" s="49">
        <f>J22*I35</f>
        <v>804.76873441108546</v>
      </c>
    </row>
  </sheetData>
  <mergeCells count="30">
    <mergeCell ref="G34:H34"/>
    <mergeCell ref="G35:H35"/>
    <mergeCell ref="G36:H36"/>
    <mergeCell ref="G25:H25"/>
    <mergeCell ref="G26:H26"/>
    <mergeCell ref="G31:H31"/>
    <mergeCell ref="G32:H32"/>
    <mergeCell ref="G33:H33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G6:H6"/>
    <mergeCell ref="G7:H7"/>
    <mergeCell ref="G8:H8"/>
    <mergeCell ref="G9:H9"/>
    <mergeCell ref="G10:H10"/>
    <mergeCell ref="I1:P1"/>
    <mergeCell ref="G5:H5"/>
    <mergeCell ref="A1:H1"/>
    <mergeCell ref="A3:B3"/>
    <mergeCell ref="D3:E3"/>
    <mergeCell ref="G3:H3"/>
    <mergeCell ref="G4:H4"/>
  </mergeCells>
  <phoneticPr fontId="5" type="noConversion"/>
  <pageMargins left="0.75" right="2.2045855379188711E-2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view="pageLayout" zoomScale="150" zoomScalePageLayoutView="150" workbookViewId="0">
      <selection activeCell="G22" sqref="G22"/>
    </sheetView>
  </sheetViews>
  <sheetFormatPr baseColWidth="10" defaultColWidth="11.5" defaultRowHeight="15" x14ac:dyDescent="0.2"/>
  <sheetData>
    <row r="1" spans="1:9" ht="16" thickBot="1" x14ac:dyDescent="0.25">
      <c r="A1" s="63" t="s">
        <v>9</v>
      </c>
      <c r="B1" s="63"/>
      <c r="C1" s="63"/>
      <c r="D1" s="63"/>
      <c r="E1" s="63"/>
      <c r="F1" s="63"/>
      <c r="G1" s="63"/>
      <c r="H1" s="39"/>
      <c r="I1" s="39"/>
    </row>
    <row r="3" spans="1:9" x14ac:dyDescent="0.2">
      <c r="A3" s="61" t="s">
        <v>21</v>
      </c>
      <c r="B3" s="61"/>
      <c r="C3" s="61"/>
      <c r="D3" s="61"/>
      <c r="E3" s="61"/>
    </row>
    <row r="4" spans="1:9" x14ac:dyDescent="0.2">
      <c r="A4" s="61" t="s">
        <v>22</v>
      </c>
      <c r="B4" s="61"/>
      <c r="C4" s="61"/>
      <c r="D4" s="61"/>
      <c r="E4" s="61"/>
      <c r="F4" s="1">
        <f>'Working T Accounts'!A9</f>
        <v>21282.560000000001</v>
      </c>
      <c r="G4" s="1"/>
    </row>
    <row r="5" spans="1:9" x14ac:dyDescent="0.2">
      <c r="A5" s="62" t="s">
        <v>23</v>
      </c>
      <c r="B5" s="62"/>
      <c r="C5" s="62"/>
      <c r="D5" s="62"/>
      <c r="E5" s="62"/>
      <c r="F5" s="1"/>
      <c r="G5" s="1">
        <f>F4</f>
        <v>21282.560000000001</v>
      </c>
    </row>
    <row r="6" spans="1:9" x14ac:dyDescent="0.2">
      <c r="A6" s="61"/>
      <c r="B6" s="61"/>
      <c r="C6" s="61"/>
      <c r="D6" s="61"/>
      <c r="E6" s="61"/>
      <c r="F6" s="1"/>
      <c r="G6" s="1"/>
    </row>
    <row r="7" spans="1:9" x14ac:dyDescent="0.2">
      <c r="A7" s="61" t="s">
        <v>24</v>
      </c>
      <c r="B7" s="61"/>
      <c r="C7" s="61"/>
      <c r="D7" s="61"/>
      <c r="E7" s="61"/>
      <c r="F7" s="1"/>
      <c r="G7" s="1"/>
    </row>
    <row r="8" spans="1:9" x14ac:dyDescent="0.2">
      <c r="A8" s="61" t="s">
        <v>22</v>
      </c>
      <c r="B8" s="61"/>
      <c r="C8" s="61"/>
      <c r="D8" s="61"/>
      <c r="E8" s="61"/>
      <c r="F8" s="1">
        <f>'Working T Accounts'!A13</f>
        <v>27248.9</v>
      </c>
      <c r="G8" s="1"/>
    </row>
    <row r="9" spans="1:9" x14ac:dyDescent="0.2">
      <c r="A9" s="62" t="s">
        <v>23</v>
      </c>
      <c r="B9" s="62"/>
      <c r="C9" s="62"/>
      <c r="D9" s="62"/>
      <c r="E9" s="62"/>
      <c r="F9" s="1"/>
      <c r="G9" s="1">
        <f>F8</f>
        <v>27248.9</v>
      </c>
    </row>
    <row r="10" spans="1:9" x14ac:dyDescent="0.2">
      <c r="A10" s="61"/>
      <c r="B10" s="61"/>
      <c r="C10" s="61"/>
      <c r="D10" s="61"/>
      <c r="E10" s="61"/>
      <c r="F10" s="1"/>
      <c r="G10" s="1"/>
    </row>
    <row r="11" spans="1:9" x14ac:dyDescent="0.2">
      <c r="A11" s="61" t="s">
        <v>25</v>
      </c>
      <c r="B11" s="61"/>
      <c r="C11" s="61"/>
      <c r="D11" s="61"/>
      <c r="E11" s="61"/>
      <c r="F11" s="1"/>
      <c r="G11" s="1"/>
    </row>
    <row r="12" spans="1:9" x14ac:dyDescent="0.2">
      <c r="A12" s="61" t="s">
        <v>22</v>
      </c>
      <c r="B12" s="61"/>
      <c r="C12" s="61"/>
      <c r="D12" s="61"/>
      <c r="E12" s="61"/>
      <c r="F12" s="1">
        <f>'Working T Accounts'!A17</f>
        <v>28860</v>
      </c>
      <c r="G12" s="1"/>
    </row>
    <row r="13" spans="1:9" x14ac:dyDescent="0.2">
      <c r="A13" s="62" t="s">
        <v>23</v>
      </c>
      <c r="B13" s="62"/>
      <c r="C13" s="62"/>
      <c r="D13" s="62"/>
      <c r="E13" s="62"/>
      <c r="F13" s="1"/>
      <c r="G13" s="1">
        <f>F12</f>
        <v>28860</v>
      </c>
    </row>
    <row r="14" spans="1:9" x14ac:dyDescent="0.2">
      <c r="A14" s="61"/>
      <c r="B14" s="61"/>
      <c r="C14" s="61"/>
      <c r="D14" s="61"/>
      <c r="E14" s="61"/>
      <c r="F14" s="1"/>
      <c r="G14" s="1"/>
    </row>
    <row r="15" spans="1:9" x14ac:dyDescent="0.2">
      <c r="A15" s="61" t="s">
        <v>26</v>
      </c>
      <c r="B15" s="61"/>
      <c r="C15" s="61"/>
      <c r="D15" s="61"/>
      <c r="E15" s="61"/>
      <c r="F15" s="1"/>
      <c r="G15" s="1"/>
    </row>
    <row r="16" spans="1:9" x14ac:dyDescent="0.2">
      <c r="A16" s="61" t="s">
        <v>22</v>
      </c>
      <c r="B16" s="61"/>
      <c r="C16" s="61"/>
      <c r="D16" s="61"/>
      <c r="E16" s="61"/>
      <c r="F16" s="1">
        <f>'Working T Accounts'!A26</f>
        <v>29294.97</v>
      </c>
      <c r="G16" s="1"/>
    </row>
    <row r="17" spans="1:7" x14ac:dyDescent="0.2">
      <c r="A17" s="62" t="s">
        <v>23</v>
      </c>
      <c r="B17" s="62"/>
      <c r="C17" s="62"/>
      <c r="D17" s="62"/>
      <c r="E17" s="62"/>
      <c r="F17" s="1"/>
      <c r="G17" s="1">
        <f>F16</f>
        <v>29294.97</v>
      </c>
    </row>
    <row r="18" spans="1:7" x14ac:dyDescent="0.2">
      <c r="A18" s="61"/>
      <c r="B18" s="61"/>
      <c r="C18" s="61"/>
      <c r="D18" s="61"/>
      <c r="E18" s="61"/>
      <c r="F18" s="1"/>
      <c r="G18" s="1"/>
    </row>
    <row r="19" spans="1:7" x14ac:dyDescent="0.2">
      <c r="A19" s="61" t="s">
        <v>27</v>
      </c>
      <c r="B19" s="61"/>
      <c r="C19" s="61"/>
      <c r="D19" s="61"/>
      <c r="E19" s="61"/>
      <c r="F19" s="1"/>
      <c r="G19" s="1"/>
    </row>
    <row r="20" spans="1:7" x14ac:dyDescent="0.2">
      <c r="A20" s="61" t="s">
        <v>22</v>
      </c>
      <c r="B20" s="61"/>
      <c r="C20" s="61"/>
      <c r="D20" s="61"/>
      <c r="E20" s="61"/>
      <c r="F20" s="1">
        <f>'Working T Accounts'!A31</f>
        <v>31229.22</v>
      </c>
      <c r="G20" s="1"/>
    </row>
    <row r="21" spans="1:7" x14ac:dyDescent="0.2">
      <c r="A21" s="62" t="s">
        <v>28</v>
      </c>
      <c r="B21" s="62"/>
      <c r="C21" s="62"/>
      <c r="D21" s="62"/>
      <c r="E21" s="62"/>
      <c r="F21" s="1"/>
      <c r="G21" s="1">
        <f>F20</f>
        <v>31229.22</v>
      </c>
    </row>
    <row r="22" spans="1:7" x14ac:dyDescent="0.2">
      <c r="A22" s="61"/>
      <c r="B22" s="61"/>
      <c r="C22" s="61"/>
      <c r="D22" s="61"/>
      <c r="E22" s="61"/>
      <c r="F22" s="1"/>
      <c r="G22" s="1"/>
    </row>
    <row r="23" spans="1:7" x14ac:dyDescent="0.2">
      <c r="A23" s="61"/>
      <c r="B23" s="61"/>
      <c r="C23" s="61"/>
      <c r="D23" s="61"/>
      <c r="E23" s="61"/>
      <c r="F23" s="1"/>
      <c r="G23" s="1"/>
    </row>
    <row r="24" spans="1:7" x14ac:dyDescent="0.2">
      <c r="A24" s="61"/>
      <c r="B24" s="61"/>
      <c r="C24" s="61"/>
      <c r="D24" s="61"/>
      <c r="E24" s="61"/>
      <c r="F24" s="1"/>
      <c r="G24" s="1"/>
    </row>
    <row r="25" spans="1:7" x14ac:dyDescent="0.2">
      <c r="A25" s="61"/>
      <c r="B25" s="61"/>
      <c r="C25" s="61"/>
      <c r="D25" s="61"/>
      <c r="E25" s="61"/>
      <c r="F25" s="1"/>
      <c r="G25" s="1"/>
    </row>
    <row r="26" spans="1:7" x14ac:dyDescent="0.2">
      <c r="A26" s="61"/>
      <c r="B26" s="61"/>
      <c r="C26" s="61"/>
      <c r="D26" s="61"/>
      <c r="E26" s="61"/>
      <c r="F26" s="1"/>
      <c r="G26" s="1"/>
    </row>
    <row r="27" spans="1:7" x14ac:dyDescent="0.2">
      <c r="A27" s="61"/>
      <c r="B27" s="61"/>
      <c r="C27" s="61"/>
      <c r="D27" s="61"/>
      <c r="E27" s="61"/>
      <c r="F27" s="1"/>
      <c r="G27" s="1"/>
    </row>
    <row r="28" spans="1:7" x14ac:dyDescent="0.2">
      <c r="A28" s="61"/>
      <c r="B28" s="61"/>
      <c r="C28" s="61"/>
      <c r="D28" s="61"/>
      <c r="E28" s="61"/>
      <c r="F28" s="1"/>
      <c r="G28" s="1"/>
    </row>
    <row r="29" spans="1:7" x14ac:dyDescent="0.2">
      <c r="A29" s="61"/>
      <c r="B29" s="61"/>
      <c r="C29" s="61"/>
      <c r="D29" s="61"/>
      <c r="E29" s="61"/>
      <c r="F29" s="1"/>
      <c r="G29" s="1"/>
    </row>
    <row r="30" spans="1:7" x14ac:dyDescent="0.2">
      <c r="A30" s="61"/>
      <c r="B30" s="61"/>
      <c r="C30" s="61"/>
      <c r="D30" s="61"/>
      <c r="E30" s="61"/>
      <c r="F30" s="1"/>
      <c r="G30" s="1"/>
    </row>
    <row r="31" spans="1:7" x14ac:dyDescent="0.2">
      <c r="A31" s="61"/>
      <c r="B31" s="61"/>
      <c r="C31" s="61"/>
      <c r="D31" s="61"/>
      <c r="E31" s="61"/>
      <c r="F31" s="1"/>
      <c r="G31" s="1"/>
    </row>
    <row r="32" spans="1:7" x14ac:dyDescent="0.2">
      <c r="A32" s="61"/>
      <c r="B32" s="61"/>
      <c r="C32" s="61"/>
      <c r="D32" s="61"/>
      <c r="E32" s="61"/>
      <c r="F32" s="1"/>
      <c r="G32" s="1"/>
    </row>
    <row r="33" spans="1:7" x14ac:dyDescent="0.2">
      <c r="A33" s="61"/>
      <c r="B33" s="61"/>
      <c r="C33" s="61"/>
      <c r="D33" s="61"/>
      <c r="E33" s="61"/>
      <c r="F33" s="1"/>
      <c r="G33" s="1"/>
    </row>
    <row r="34" spans="1:7" x14ac:dyDescent="0.2">
      <c r="A34" s="61"/>
      <c r="B34" s="61"/>
      <c r="C34" s="61"/>
      <c r="D34" s="61"/>
      <c r="E34" s="61"/>
      <c r="F34" s="1"/>
      <c r="G34" s="1"/>
    </row>
    <row r="35" spans="1:7" x14ac:dyDescent="0.2">
      <c r="A35" s="61"/>
      <c r="B35" s="61"/>
      <c r="C35" s="61"/>
      <c r="D35" s="61"/>
      <c r="E35" s="61"/>
    </row>
    <row r="36" spans="1:7" x14ac:dyDescent="0.2">
      <c r="A36" s="61"/>
      <c r="B36" s="61"/>
      <c r="C36" s="61"/>
      <c r="D36" s="61"/>
      <c r="E36" s="61"/>
    </row>
    <row r="37" spans="1:7" x14ac:dyDescent="0.2">
      <c r="A37" s="61"/>
      <c r="B37" s="61"/>
      <c r="C37" s="61"/>
      <c r="D37" s="61"/>
      <c r="E37" s="61"/>
    </row>
    <row r="38" spans="1:7" x14ac:dyDescent="0.2">
      <c r="A38" s="61"/>
      <c r="B38" s="61"/>
      <c r="C38" s="61"/>
      <c r="D38" s="61"/>
      <c r="E38" s="61"/>
    </row>
    <row r="39" spans="1:7" x14ac:dyDescent="0.2">
      <c r="A39" s="61"/>
      <c r="B39" s="61"/>
      <c r="C39" s="61"/>
      <c r="D39" s="61"/>
      <c r="E39" s="61"/>
    </row>
    <row r="40" spans="1:7" x14ac:dyDescent="0.2">
      <c r="A40" s="61"/>
      <c r="B40" s="61"/>
      <c r="C40" s="61"/>
      <c r="D40" s="61"/>
      <c r="E40" s="61"/>
    </row>
    <row r="41" spans="1:7" x14ac:dyDescent="0.2">
      <c r="A41" s="61"/>
      <c r="B41" s="61"/>
      <c r="C41" s="61"/>
      <c r="D41" s="61"/>
      <c r="E41" s="61"/>
    </row>
    <row r="42" spans="1:7" x14ac:dyDescent="0.2">
      <c r="A42" s="61"/>
      <c r="B42" s="61"/>
      <c r="C42" s="61"/>
      <c r="D42" s="61"/>
      <c r="E42" s="61"/>
    </row>
    <row r="43" spans="1:7" x14ac:dyDescent="0.2">
      <c r="A43" s="61"/>
      <c r="B43" s="61"/>
      <c r="C43" s="61"/>
      <c r="D43" s="61"/>
      <c r="E43" s="61"/>
    </row>
    <row r="44" spans="1:7" x14ac:dyDescent="0.2">
      <c r="A44" s="61"/>
      <c r="B44" s="61"/>
      <c r="C44" s="61"/>
      <c r="D44" s="61"/>
      <c r="E44" s="61"/>
    </row>
    <row r="45" spans="1:7" x14ac:dyDescent="0.2">
      <c r="A45" s="61"/>
      <c r="B45" s="61"/>
      <c r="C45" s="61"/>
      <c r="D45" s="61"/>
      <c r="E45" s="61"/>
    </row>
    <row r="46" spans="1:7" x14ac:dyDescent="0.2">
      <c r="A46" s="61"/>
      <c r="B46" s="61"/>
      <c r="C46" s="61"/>
      <c r="D46" s="61"/>
      <c r="E46" s="61"/>
    </row>
  </sheetData>
  <mergeCells count="45">
    <mergeCell ref="A12:E12"/>
    <mergeCell ref="A1:G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24:E24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36:E36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43:E43"/>
    <mergeCell ref="A44:E44"/>
    <mergeCell ref="A45:E45"/>
    <mergeCell ref="A46:E46"/>
    <mergeCell ref="A37:E37"/>
    <mergeCell ref="A38:E38"/>
    <mergeCell ref="A39:E39"/>
    <mergeCell ref="A40:E40"/>
    <mergeCell ref="A41:E41"/>
    <mergeCell ref="A42:E42"/>
  </mergeCells>
  <phoneticPr fontId="5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 T Accounts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User</dc:creator>
  <cp:lastModifiedBy>Microsoft Office User</cp:lastModifiedBy>
  <cp:lastPrinted>2012-05-04T03:01:11Z</cp:lastPrinted>
  <dcterms:created xsi:type="dcterms:W3CDTF">2012-05-04T01:08:31Z</dcterms:created>
  <dcterms:modified xsi:type="dcterms:W3CDTF">2020-10-16T20:18:40Z</dcterms:modified>
</cp:coreProperties>
</file>
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ackpeplinski/Desktop/SOP/BUS_2257/"/>
    </mc:Choice>
  </mc:AlternateContent>
  <xr:revisionPtr revIDLastSave="0" documentId="13_ncr:1_{4EBDA19D-E2C8-F74C-8EBD-8F998F55F708}" xr6:coauthVersionLast="45" xr6:coauthVersionMax="45" xr10:uidLastSave="{00000000-0000-0000-0000-000000000000}"/>
  <bookViews>
    <workbookView xWindow="0" yWindow="460" windowWidth="20500" windowHeight="7760" activeTab="1" xr2:uid="{00000000-000D-0000-FFFF-FFFF00000000}"/>
  </bookViews>
  <sheets>
    <sheet name="Bank Reconciliation" sheetId="1" r:id="rId1"/>
    <sheet name="Adjusting Ent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6" i="2" l="1"/>
  <c r="D17" i="2" s="1"/>
  <c r="D14" i="2"/>
  <c r="C13" i="2"/>
  <c r="C9" i="2"/>
  <c r="D10" i="2" s="1"/>
  <c r="C6" i="2"/>
  <c r="D7" i="2"/>
  <c r="C3" i="2"/>
  <c r="D4" i="2" s="1"/>
  <c r="E22" i="1"/>
  <c r="E27" i="1"/>
  <c r="E29" i="1"/>
  <c r="E7" i="1"/>
  <c r="E9" i="1"/>
  <c r="E14" i="1"/>
  <c r="E16" i="1"/>
</calcChain>
</file>

<file path=xl/sharedStrings.xml><?xml version="1.0" encoding="utf-8"?>
<sst xmlns="http://schemas.openxmlformats.org/spreadsheetml/2006/main" count="44" uniqueCount="33">
  <si>
    <t>Pergola Fish Finders</t>
  </si>
  <si>
    <t>Bank Reconciliation</t>
  </si>
  <si>
    <t>As At March 31, 2004</t>
  </si>
  <si>
    <t>Balance per Company Records March 1, 2004</t>
  </si>
  <si>
    <t>Add:</t>
  </si>
  <si>
    <t>Cash Recepits</t>
  </si>
  <si>
    <t>Less:</t>
  </si>
  <si>
    <t>Cash Disbursements</t>
  </si>
  <si>
    <t>Balance per Company Records March 31, 2004</t>
  </si>
  <si>
    <t>Petty Cash</t>
  </si>
  <si>
    <t>Payroll</t>
  </si>
  <si>
    <t>Correction #40</t>
  </si>
  <si>
    <t>Service Charges</t>
  </si>
  <si>
    <t>NSF #74</t>
  </si>
  <si>
    <t>Adjusted Balance, March 31, 2004</t>
  </si>
  <si>
    <t>Balance per Bank Records, March 31, 2004</t>
  </si>
  <si>
    <t>Deposits in Transit</t>
  </si>
  <si>
    <t>Cheque #99</t>
  </si>
  <si>
    <t>Cheque #13</t>
  </si>
  <si>
    <t>Outstanding Cheques</t>
  </si>
  <si>
    <t>Cheque #12</t>
  </si>
  <si>
    <t>Cheque #18</t>
  </si>
  <si>
    <t>Cheque #41</t>
  </si>
  <si>
    <t>Adjusting Entries</t>
  </si>
  <si>
    <t>[1]</t>
  </si>
  <si>
    <t>Cash</t>
  </si>
  <si>
    <t>[2]</t>
  </si>
  <si>
    <t>Wages Expense</t>
  </si>
  <si>
    <t>[3]</t>
  </si>
  <si>
    <t>Deliveries Expense</t>
  </si>
  <si>
    <t>[4]</t>
  </si>
  <si>
    <t>Accounts Receivable</t>
  </si>
  <si>
    <t>[5]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</si>
</sst>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1" applyFont="1"/>
    <xf numFmtId="166" fontId="0" fillId="0" borderId="0" xfId="1" applyNumberFormat="1" applyFont="1"/>
    <xf numFmtId="164" fontId="0" fillId="0" borderId="0" xfId="2" applyFont="1"/>
    <xf numFmtId="164" fontId="0" fillId="0" borderId="0" xfId="2" applyNumberFormat="1" applyFont="1"/>
    <xf numFmtId="165" fontId="0" fillId="0" borderId="0" xfId="1" applyNumberFormat="1" applyFont="1"/>
    <xf numFmtId="165" fontId="0" fillId="0" borderId="2" xfId="1" applyNumberFormat="1" applyFont="1" applyBorder="1"/>
    <xf numFmtId="165" fontId="0" fillId="0" borderId="0" xfId="1" applyNumberFormat="1" applyFont="1" applyBorder="1"/>
    <xf numFmtId="165" fontId="0" fillId="0" borderId="3" xfId="1" applyNumberFormat="1" applyFont="1" applyBorder="1"/>
    <xf numFmtId="164" fontId="0" fillId="0" borderId="3" xfId="2" applyFont="1" applyBorder="1"/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workbookViewId="0">
      <selection activeCell="E50" sqref="E50"/>
    </sheetView>
  </sheetViews>
  <sheetFormatPr baseColWidth="10" defaultColWidth="8.83203125" defaultRowHeight="15" x14ac:dyDescent="0.2"/>
  <cols>
    <col min="1" max="1" width="5.33203125" customWidth="1"/>
    <col min="2" max="2" width="36.5" customWidth="1"/>
    <col min="3" max="3" width="2.1640625" customWidth="1"/>
    <col min="4" max="5" width="11.5" bestFit="1" customWidth="1"/>
  </cols>
  <sheetData>
    <row r="1" spans="1:5" x14ac:dyDescent="0.2">
      <c r="A1" s="13" t="s">
        <v>0</v>
      </c>
      <c r="B1" s="13"/>
      <c r="C1" s="13"/>
      <c r="D1" s="13"/>
      <c r="E1" s="13"/>
    </row>
    <row r="2" spans="1:5" x14ac:dyDescent="0.2">
      <c r="A2" s="13" t="s">
        <v>1</v>
      </c>
      <c r="B2" s="13"/>
      <c r="C2" s="13"/>
      <c r="D2" s="13"/>
      <c r="E2" s="13"/>
    </row>
    <row r="3" spans="1:5" ht="16" thickBot="1" x14ac:dyDescent="0.25">
      <c r="A3" s="14" t="s">
        <v>2</v>
      </c>
      <c r="B3" s="14"/>
      <c r="C3" s="14"/>
      <c r="D3" s="14"/>
      <c r="E3" s="14"/>
    </row>
    <row r="5" spans="1:5" x14ac:dyDescent="0.2">
      <c r="A5" s="12" t="s">
        <v>3</v>
      </c>
      <c r="B5" s="12"/>
      <c r="D5" s="2"/>
      <c r="E5" s="4">
        <v>4200.8900000000003</v>
      </c>
    </row>
    <row r="6" spans="1:5" x14ac:dyDescent="0.2">
      <c r="A6" t="s">
        <v>4</v>
      </c>
      <c r="B6" t="s">
        <v>5</v>
      </c>
      <c r="D6" s="3">
        <v>46416.39</v>
      </c>
      <c r="E6" s="2"/>
    </row>
    <row r="7" spans="1:5" x14ac:dyDescent="0.2">
      <c r="A7" t="s">
        <v>6</v>
      </c>
      <c r="B7" t="s">
        <v>7</v>
      </c>
      <c r="D7" s="6">
        <v>-38888.910000000003</v>
      </c>
      <c r="E7" s="6">
        <f>D6+D7</f>
        <v>7527.4799999999959</v>
      </c>
    </row>
    <row r="8" spans="1:5" x14ac:dyDescent="0.2">
      <c r="D8" s="7"/>
      <c r="E8" s="7"/>
    </row>
    <row r="9" spans="1:5" x14ac:dyDescent="0.2">
      <c r="A9" s="12" t="s">
        <v>8</v>
      </c>
      <c r="B9" s="12"/>
      <c r="D9" s="5"/>
      <c r="E9" s="3">
        <f>E5+E7</f>
        <v>11728.369999999995</v>
      </c>
    </row>
    <row r="10" spans="1:5" x14ac:dyDescent="0.2">
      <c r="A10" t="s">
        <v>6</v>
      </c>
      <c r="B10" t="s">
        <v>9</v>
      </c>
      <c r="D10" s="3">
        <v>400</v>
      </c>
      <c r="E10" s="5"/>
    </row>
    <row r="11" spans="1:5" x14ac:dyDescent="0.2">
      <c r="B11" t="s">
        <v>10</v>
      </c>
      <c r="D11" s="5">
        <v>1050.49</v>
      </c>
      <c r="E11" s="5"/>
    </row>
    <row r="12" spans="1:5" x14ac:dyDescent="0.2">
      <c r="B12" t="s">
        <v>11</v>
      </c>
      <c r="D12" s="5">
        <v>297</v>
      </c>
      <c r="E12" s="5"/>
    </row>
    <row r="13" spans="1:5" x14ac:dyDescent="0.2">
      <c r="B13" t="s">
        <v>12</v>
      </c>
      <c r="D13" s="5">
        <v>132</v>
      </c>
      <c r="E13" s="5"/>
    </row>
    <row r="14" spans="1:5" x14ac:dyDescent="0.2">
      <c r="B14" t="s">
        <v>13</v>
      </c>
      <c r="D14" s="6">
        <v>2223.38</v>
      </c>
      <c r="E14" s="6">
        <f>SUM(D10:D14)</f>
        <v>4102.87</v>
      </c>
    </row>
    <row r="15" spans="1:5" x14ac:dyDescent="0.2">
      <c r="D15" s="5"/>
      <c r="E15" s="5"/>
    </row>
    <row r="16" spans="1:5" ht="16" thickBot="1" x14ac:dyDescent="0.25">
      <c r="A16" s="12" t="s">
        <v>14</v>
      </c>
      <c r="B16" s="12"/>
      <c r="D16" s="5"/>
      <c r="E16" s="9">
        <f>E9-E14</f>
        <v>7625.4999999999955</v>
      </c>
    </row>
    <row r="17" spans="1:5" ht="16" thickTop="1" x14ac:dyDescent="0.2">
      <c r="D17" s="5"/>
      <c r="E17" s="5"/>
    </row>
    <row r="18" spans="1:5" x14ac:dyDescent="0.2">
      <c r="A18" s="12" t="s">
        <v>15</v>
      </c>
      <c r="B18" s="12"/>
      <c r="D18" s="5"/>
      <c r="E18" s="3">
        <v>8220.39</v>
      </c>
    </row>
    <row r="19" spans="1:5" x14ac:dyDescent="0.2">
      <c r="D19" s="5"/>
      <c r="E19" s="5"/>
    </row>
    <row r="20" spans="1:5" x14ac:dyDescent="0.2">
      <c r="A20" t="s">
        <v>4</v>
      </c>
      <c r="B20" t="s">
        <v>16</v>
      </c>
      <c r="D20" s="5"/>
      <c r="E20" s="5"/>
    </row>
    <row r="21" spans="1:5" x14ac:dyDescent="0.2">
      <c r="B21" t="s">
        <v>17</v>
      </c>
      <c r="D21" s="3">
        <v>865.23</v>
      </c>
      <c r="E21" s="5"/>
    </row>
    <row r="22" spans="1:5" x14ac:dyDescent="0.2">
      <c r="B22" t="s">
        <v>18</v>
      </c>
      <c r="D22" s="6">
        <v>1986.2</v>
      </c>
      <c r="E22" s="5">
        <f>D21+D22</f>
        <v>2851.4300000000003</v>
      </c>
    </row>
    <row r="23" spans="1:5" x14ac:dyDescent="0.2">
      <c r="D23" s="5"/>
      <c r="E23" s="5"/>
    </row>
    <row r="24" spans="1:5" x14ac:dyDescent="0.2">
      <c r="A24" t="s">
        <v>6</v>
      </c>
      <c r="B24" t="s">
        <v>19</v>
      </c>
      <c r="D24" s="5"/>
      <c r="E24" s="5"/>
    </row>
    <row r="25" spans="1:5" x14ac:dyDescent="0.2">
      <c r="B25" t="s">
        <v>20</v>
      </c>
      <c r="D25" s="3">
        <v>42.63</v>
      </c>
      <c r="E25" s="5"/>
    </row>
    <row r="26" spans="1:5" x14ac:dyDescent="0.2">
      <c r="B26" t="s">
        <v>21</v>
      </c>
      <c r="D26" s="5">
        <v>58.26</v>
      </c>
      <c r="E26" s="5"/>
    </row>
    <row r="27" spans="1:5" x14ac:dyDescent="0.2">
      <c r="B27" t="s">
        <v>22</v>
      </c>
      <c r="D27" s="6">
        <v>3345.43</v>
      </c>
      <c r="E27" s="6">
        <f>SUM(D25:D27)</f>
        <v>3446.3199999999997</v>
      </c>
    </row>
    <row r="28" spans="1:5" x14ac:dyDescent="0.2">
      <c r="D28" s="5"/>
      <c r="E28" s="5"/>
    </row>
    <row r="29" spans="1:5" ht="16" thickBot="1" x14ac:dyDescent="0.25">
      <c r="A29" s="12" t="s">
        <v>14</v>
      </c>
      <c r="B29" s="12"/>
      <c r="D29" s="5"/>
      <c r="E29" s="8">
        <f>E18+E22-E27</f>
        <v>7625.5</v>
      </c>
    </row>
    <row r="30" spans="1:5" ht="16" thickTop="1" x14ac:dyDescent="0.2">
      <c r="D30" s="5"/>
      <c r="E30" s="5"/>
    </row>
    <row r="31" spans="1:5" x14ac:dyDescent="0.2">
      <c r="D31" s="5"/>
      <c r="E31" s="5"/>
    </row>
    <row r="32" spans="1:5" x14ac:dyDescent="0.2">
      <c r="D32" s="5"/>
      <c r="E32" s="5"/>
    </row>
    <row r="33" spans="4:5" x14ac:dyDescent="0.2">
      <c r="D33" s="5"/>
      <c r="E33" s="5"/>
    </row>
    <row r="34" spans="4:5" x14ac:dyDescent="0.2">
      <c r="D34" s="5"/>
      <c r="E34" s="5"/>
    </row>
    <row r="35" spans="4:5" x14ac:dyDescent="0.2">
      <c r="D35" s="5"/>
      <c r="E35" s="5"/>
    </row>
    <row r="36" spans="4:5" x14ac:dyDescent="0.2">
      <c r="D36" s="5"/>
      <c r="E36" s="5"/>
    </row>
    <row r="37" spans="4:5" x14ac:dyDescent="0.2">
      <c r="D37" s="5"/>
      <c r="E37" s="5"/>
    </row>
    <row r="38" spans="4:5" x14ac:dyDescent="0.2">
      <c r="D38" s="5"/>
      <c r="E38" s="5"/>
    </row>
    <row r="39" spans="4:5" x14ac:dyDescent="0.2">
      <c r="D39" s="5"/>
      <c r="E39" s="5"/>
    </row>
    <row r="40" spans="4:5" x14ac:dyDescent="0.2">
      <c r="D40" s="5"/>
      <c r="E40" s="5"/>
    </row>
    <row r="41" spans="4:5" x14ac:dyDescent="0.2">
      <c r="D41" s="5"/>
      <c r="E41" s="5"/>
    </row>
    <row r="42" spans="4:5" x14ac:dyDescent="0.2">
      <c r="D42" s="5"/>
      <c r="E42" s="5"/>
    </row>
    <row r="43" spans="4:5" x14ac:dyDescent="0.2">
      <c r="D43" s="5"/>
      <c r="E43" s="5"/>
    </row>
    <row r="44" spans="4:5" x14ac:dyDescent="0.2">
      <c r="D44" s="5"/>
      <c r="E44" s="5"/>
    </row>
    <row r="45" spans="4:5" x14ac:dyDescent="0.2">
      <c r="D45" s="5"/>
      <c r="E45" s="5"/>
    </row>
    <row r="46" spans="4:5" x14ac:dyDescent="0.2">
      <c r="D46" s="5"/>
      <c r="E46" s="5"/>
    </row>
    <row r="47" spans="4:5" x14ac:dyDescent="0.2">
      <c r="D47" s="5"/>
      <c r="E47" s="5"/>
    </row>
    <row r="48" spans="4:5" x14ac:dyDescent="0.2">
      <c r="D48" s="2"/>
      <c r="E48" s="2"/>
    </row>
    <row r="49" spans="4:5" x14ac:dyDescent="0.2">
      <c r="D49" s="2"/>
      <c r="E49" s="2"/>
    </row>
    <row r="50" spans="4:5" x14ac:dyDescent="0.2">
      <c r="D50" s="2"/>
      <c r="E50" s="2"/>
    </row>
    <row r="51" spans="4:5" x14ac:dyDescent="0.2">
      <c r="D51" s="2"/>
      <c r="E51" s="2"/>
    </row>
    <row r="52" spans="4:5" x14ac:dyDescent="0.2">
      <c r="D52" s="2"/>
      <c r="E52" s="2"/>
    </row>
    <row r="53" spans="4:5" x14ac:dyDescent="0.2">
      <c r="D53" s="2"/>
      <c r="E53" s="2"/>
    </row>
    <row r="54" spans="4:5" x14ac:dyDescent="0.2">
      <c r="D54" s="2"/>
      <c r="E54" s="2"/>
    </row>
    <row r="55" spans="4:5" x14ac:dyDescent="0.2">
      <c r="D55" s="2"/>
      <c r="E55" s="2"/>
    </row>
    <row r="56" spans="4:5" x14ac:dyDescent="0.2">
      <c r="D56" s="2"/>
      <c r="E56" s="2"/>
    </row>
    <row r="57" spans="4:5" x14ac:dyDescent="0.2">
      <c r="D57" s="2"/>
      <c r="E57" s="2"/>
    </row>
    <row r="58" spans="4:5" x14ac:dyDescent="0.2">
      <c r="D58" s="2"/>
      <c r="E58" s="2"/>
    </row>
    <row r="59" spans="4:5" x14ac:dyDescent="0.2">
      <c r="D59" s="2"/>
      <c r="E59" s="2"/>
    </row>
    <row r="60" spans="4:5" x14ac:dyDescent="0.2">
      <c r="D60" s="2"/>
      <c r="E60" s="2"/>
    </row>
    <row r="61" spans="4:5" x14ac:dyDescent="0.2">
      <c r="D61" s="2"/>
      <c r="E61" s="2"/>
    </row>
    <row r="62" spans="4:5" x14ac:dyDescent="0.2">
      <c r="D62" s="2"/>
      <c r="E62" s="2"/>
    </row>
    <row r="63" spans="4:5" x14ac:dyDescent="0.2">
      <c r="D63" s="2"/>
      <c r="E63" s="2"/>
    </row>
    <row r="64" spans="4:5" x14ac:dyDescent="0.2">
      <c r="D64" s="2"/>
      <c r="E64" s="2"/>
    </row>
    <row r="65" spans="4:5" x14ac:dyDescent="0.2">
      <c r="D65" s="2"/>
      <c r="E65" s="2"/>
    </row>
    <row r="66" spans="4:5" x14ac:dyDescent="0.2">
      <c r="D66" s="2"/>
      <c r="E66" s="2"/>
    </row>
    <row r="67" spans="4:5" x14ac:dyDescent="0.2">
      <c r="D67" s="2"/>
      <c r="E67" s="2"/>
    </row>
    <row r="68" spans="4:5" x14ac:dyDescent="0.2">
      <c r="D68" s="2"/>
      <c r="E68" s="2"/>
    </row>
    <row r="69" spans="4:5" x14ac:dyDescent="0.2">
      <c r="D69" s="2"/>
      <c r="E69" s="2"/>
    </row>
    <row r="70" spans="4:5" x14ac:dyDescent="0.2">
      <c r="D70" s="2"/>
      <c r="E70" s="2"/>
    </row>
    <row r="71" spans="4:5" x14ac:dyDescent="0.2">
      <c r="D71" s="2"/>
      <c r="E71" s="2"/>
    </row>
    <row r="72" spans="4:5" x14ac:dyDescent="0.2">
      <c r="D72" s="2"/>
      <c r="E72" s="2"/>
    </row>
    <row r="73" spans="4:5" x14ac:dyDescent="0.2">
      <c r="D73" s="2"/>
      <c r="E73" s="2"/>
    </row>
    <row r="74" spans="4:5" x14ac:dyDescent="0.2">
      <c r="D74" s="2"/>
      <c r="E74" s="2"/>
    </row>
    <row r="75" spans="4:5" x14ac:dyDescent="0.2">
      <c r="D75" s="2"/>
      <c r="E75" s="2"/>
    </row>
    <row r="76" spans="4:5" x14ac:dyDescent="0.2">
      <c r="D76" s="2"/>
      <c r="E76" s="2"/>
    </row>
    <row r="77" spans="4:5" x14ac:dyDescent="0.2">
      <c r="D77" s="2"/>
      <c r="E77" s="2"/>
    </row>
    <row r="78" spans="4:5" x14ac:dyDescent="0.2">
      <c r="D78" s="2"/>
      <c r="E78" s="2"/>
    </row>
    <row r="79" spans="4:5" x14ac:dyDescent="0.2">
      <c r="D79" s="2"/>
      <c r="E79" s="2"/>
    </row>
    <row r="80" spans="4:5" x14ac:dyDescent="0.2">
      <c r="D80" s="2"/>
      <c r="E80" s="2"/>
    </row>
    <row r="81" spans="4:5" x14ac:dyDescent="0.2">
      <c r="D81" s="2"/>
      <c r="E81" s="2"/>
    </row>
    <row r="82" spans="4:5" x14ac:dyDescent="0.2">
      <c r="D82" s="2"/>
      <c r="E82" s="2"/>
    </row>
    <row r="83" spans="4:5" x14ac:dyDescent="0.2">
      <c r="D83" s="2"/>
      <c r="E83" s="2"/>
    </row>
    <row r="84" spans="4:5" x14ac:dyDescent="0.2">
      <c r="D84" s="2"/>
      <c r="E84" s="2"/>
    </row>
    <row r="85" spans="4:5" x14ac:dyDescent="0.2">
      <c r="D85" s="2"/>
      <c r="E85" s="2"/>
    </row>
    <row r="86" spans="4:5" x14ac:dyDescent="0.2">
      <c r="D86" s="2"/>
      <c r="E86" s="2"/>
    </row>
    <row r="87" spans="4:5" x14ac:dyDescent="0.2">
      <c r="D87" s="2"/>
      <c r="E87" s="2"/>
    </row>
    <row r="88" spans="4:5" x14ac:dyDescent="0.2">
      <c r="D88" s="2"/>
      <c r="E88" s="2"/>
    </row>
    <row r="89" spans="4:5" x14ac:dyDescent="0.2">
      <c r="D89" s="2"/>
      <c r="E89" s="2"/>
    </row>
    <row r="90" spans="4:5" x14ac:dyDescent="0.2">
      <c r="D90" s="2"/>
      <c r="E90" s="2"/>
    </row>
    <row r="91" spans="4:5" x14ac:dyDescent="0.2">
      <c r="D91" s="2"/>
      <c r="E91" s="2"/>
    </row>
    <row r="92" spans="4:5" x14ac:dyDescent="0.2">
      <c r="D92" s="2"/>
      <c r="E92" s="2"/>
    </row>
    <row r="93" spans="4:5" x14ac:dyDescent="0.2">
      <c r="D93" s="2"/>
      <c r="E93" s="2"/>
    </row>
    <row r="94" spans="4:5" x14ac:dyDescent="0.2">
      <c r="D94" s="2"/>
      <c r="E94" s="2"/>
    </row>
    <row r="95" spans="4:5" x14ac:dyDescent="0.2">
      <c r="D95" s="2"/>
      <c r="E95" s="2"/>
    </row>
    <row r="96" spans="4:5" x14ac:dyDescent="0.2">
      <c r="D96" s="2"/>
      <c r="E96" s="2"/>
    </row>
    <row r="97" spans="4:5" x14ac:dyDescent="0.2">
      <c r="D97" s="2"/>
      <c r="E97" s="2"/>
    </row>
    <row r="98" spans="4:5" x14ac:dyDescent="0.2">
      <c r="D98" s="2"/>
      <c r="E98" s="2"/>
    </row>
    <row r="99" spans="4:5" x14ac:dyDescent="0.2">
      <c r="D99" s="2"/>
      <c r="E99" s="2"/>
    </row>
    <row r="100" spans="4:5" x14ac:dyDescent="0.2">
      <c r="D100" s="2"/>
      <c r="E100" s="2"/>
    </row>
    <row r="101" spans="4:5" x14ac:dyDescent="0.2">
      <c r="D101" s="2"/>
      <c r="E101" s="2"/>
    </row>
    <row r="102" spans="4:5" x14ac:dyDescent="0.2">
      <c r="D102" s="2"/>
      <c r="E102" s="2"/>
    </row>
    <row r="103" spans="4:5" x14ac:dyDescent="0.2">
      <c r="D103" s="2"/>
      <c r="E103" s="2"/>
    </row>
    <row r="104" spans="4:5" x14ac:dyDescent="0.2">
      <c r="D104" s="2"/>
      <c r="E104" s="2"/>
    </row>
    <row r="105" spans="4:5" x14ac:dyDescent="0.2">
      <c r="D105" s="2"/>
      <c r="E105" s="2"/>
    </row>
    <row r="106" spans="4:5" x14ac:dyDescent="0.2">
      <c r="D106" s="2"/>
      <c r="E106" s="2"/>
    </row>
    <row r="107" spans="4:5" x14ac:dyDescent="0.2">
      <c r="D107" s="2"/>
      <c r="E107" s="2"/>
    </row>
    <row r="108" spans="4:5" x14ac:dyDescent="0.2">
      <c r="D108" s="2"/>
      <c r="E108" s="2"/>
    </row>
    <row r="109" spans="4:5" x14ac:dyDescent="0.2">
      <c r="D109" s="2"/>
      <c r="E109" s="2"/>
    </row>
    <row r="110" spans="4:5" x14ac:dyDescent="0.2">
      <c r="D110" s="2"/>
      <c r="E110" s="2"/>
    </row>
    <row r="111" spans="4:5" x14ac:dyDescent="0.2">
      <c r="D111" s="2"/>
      <c r="E111" s="2"/>
    </row>
    <row r="112" spans="4:5" x14ac:dyDescent="0.2">
      <c r="D112" s="2"/>
      <c r="E112" s="2"/>
    </row>
    <row r="113" spans="4:5" x14ac:dyDescent="0.2">
      <c r="D113" s="2"/>
      <c r="E113" s="2"/>
    </row>
    <row r="114" spans="4:5" x14ac:dyDescent="0.2">
      <c r="D114" s="2"/>
      <c r="E114" s="2"/>
    </row>
    <row r="115" spans="4:5" x14ac:dyDescent="0.2">
      <c r="D115" s="2"/>
      <c r="E115" s="2"/>
    </row>
    <row r="116" spans="4:5" x14ac:dyDescent="0.2">
      <c r="D116" s="2"/>
      <c r="E116" s="2"/>
    </row>
    <row r="117" spans="4:5" x14ac:dyDescent="0.2">
      <c r="D117" s="2"/>
      <c r="E117" s="2"/>
    </row>
    <row r="118" spans="4:5" x14ac:dyDescent="0.2">
      <c r="D118" s="2"/>
      <c r="E118" s="2"/>
    </row>
    <row r="119" spans="4:5" x14ac:dyDescent="0.2">
      <c r="D119" s="2"/>
      <c r="E119" s="2"/>
    </row>
    <row r="120" spans="4:5" x14ac:dyDescent="0.2">
      <c r="D120" s="2"/>
      <c r="E120" s="2"/>
    </row>
    <row r="121" spans="4:5" x14ac:dyDescent="0.2">
      <c r="D121" s="2"/>
      <c r="E121" s="2"/>
    </row>
    <row r="122" spans="4:5" x14ac:dyDescent="0.2">
      <c r="D122" s="2"/>
      <c r="E122" s="2"/>
    </row>
    <row r="123" spans="4:5" x14ac:dyDescent="0.2">
      <c r="D123" s="2"/>
      <c r="E123" s="2"/>
    </row>
    <row r="124" spans="4:5" x14ac:dyDescent="0.2">
      <c r="D124" s="2"/>
      <c r="E124" s="2"/>
    </row>
    <row r="125" spans="4:5" x14ac:dyDescent="0.2">
      <c r="D125" s="2"/>
      <c r="E125" s="2"/>
    </row>
    <row r="126" spans="4:5" x14ac:dyDescent="0.2">
      <c r="D126" s="2"/>
      <c r="E126" s="2"/>
    </row>
    <row r="127" spans="4:5" x14ac:dyDescent="0.2">
      <c r="D127" s="2"/>
      <c r="E127" s="2"/>
    </row>
    <row r="128" spans="4:5" x14ac:dyDescent="0.2">
      <c r="D128" s="2"/>
      <c r="E128" s="2"/>
    </row>
    <row r="129" spans="4:5" x14ac:dyDescent="0.2">
      <c r="D129" s="2"/>
      <c r="E129" s="2"/>
    </row>
    <row r="130" spans="4:5" x14ac:dyDescent="0.2">
      <c r="D130" s="2"/>
      <c r="E130" s="2"/>
    </row>
    <row r="131" spans="4:5" x14ac:dyDescent="0.2">
      <c r="D131" s="2"/>
      <c r="E131" s="2"/>
    </row>
    <row r="132" spans="4:5" x14ac:dyDescent="0.2">
      <c r="D132" s="2"/>
      <c r="E132" s="2"/>
    </row>
  </sheetData>
  <mergeCells count="8">
    <mergeCell ref="A18:B18"/>
    <mergeCell ref="A29:B29"/>
    <mergeCell ref="A1:E1"/>
    <mergeCell ref="A2:E2"/>
    <mergeCell ref="A3:E3"/>
    <mergeCell ref="A5:B5"/>
    <mergeCell ref="A9:B9"/>
    <mergeCell ref="A16:B16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3.83203125" customWidth="1"/>
    <col min="2" max="2" width="36.5" customWidth="1"/>
    <col min="3" max="4" width="9.5" bestFit="1" customWidth="1"/>
  </cols>
  <sheetData>
    <row r="1" spans="1:4" ht="16" thickBot="1" x14ac:dyDescent="0.25">
      <c r="A1" s="14" t="s">
        <v>23</v>
      </c>
      <c r="B1" s="14"/>
      <c r="C1" s="14"/>
      <c r="D1" s="14"/>
    </row>
    <row r="3" spans="1:4" x14ac:dyDescent="0.2">
      <c r="A3" t="s">
        <v>24</v>
      </c>
      <c r="B3" t="s">
        <v>9</v>
      </c>
      <c r="C3" s="11">
        <f>'Bank Reconciliation'!D10</f>
        <v>400</v>
      </c>
    </row>
    <row r="4" spans="1:4" x14ac:dyDescent="0.2">
      <c r="B4" s="10" t="s">
        <v>25</v>
      </c>
      <c r="D4" s="11">
        <f>C3</f>
        <v>400</v>
      </c>
    </row>
    <row r="6" spans="1:4" x14ac:dyDescent="0.2">
      <c r="A6" t="s">
        <v>26</v>
      </c>
      <c r="B6" t="s">
        <v>27</v>
      </c>
      <c r="C6" s="11">
        <f>'Bank Reconciliation'!D11</f>
        <v>1050.49</v>
      </c>
    </row>
    <row r="7" spans="1:4" x14ac:dyDescent="0.2">
      <c r="B7" s="10" t="s">
        <v>25</v>
      </c>
      <c r="D7" s="11">
        <f>C6</f>
        <v>1050.49</v>
      </c>
    </row>
    <row r="9" spans="1:4" x14ac:dyDescent="0.2">
      <c r="A9" t="s">
        <v>28</v>
      </c>
      <c r="B9" t="s">
        <v>29</v>
      </c>
      <c r="C9" s="11">
        <f>'Bank Reconciliation'!D12</f>
        <v>297</v>
      </c>
    </row>
    <row r="10" spans="1:4" x14ac:dyDescent="0.2">
      <c r="B10" s="10" t="s">
        <v>25</v>
      </c>
      <c r="D10" s="11">
        <f>C9</f>
        <v>297</v>
      </c>
    </row>
    <row r="12" spans="1:4" x14ac:dyDescent="0.2">
      <c r="A12" t="s">
        <v>30</v>
      </c>
      <c r="B12" t="s">
        <v>12</v>
      </c>
      <c r="C12" s="1">
        <v>112</v>
      </c>
    </row>
    <row r="13" spans="1:4" x14ac:dyDescent="0.2">
      <c r="B13" t="s">
        <v>31</v>
      </c>
      <c r="C13" s="11">
        <f>D14-C12</f>
        <v>20</v>
      </c>
    </row>
    <row r="14" spans="1:4" x14ac:dyDescent="0.2">
      <c r="B14" s="10" t="s">
        <v>25</v>
      </c>
      <c r="D14" s="11">
        <f>'Bank Reconciliation'!D13</f>
        <v>132</v>
      </c>
    </row>
    <row r="16" spans="1:4" x14ac:dyDescent="0.2">
      <c r="A16" t="s">
        <v>32</v>
      </c>
      <c r="B16" t="s">
        <v>31</v>
      </c>
      <c r="C16" s="11">
        <f>'Bank Reconciliation'!D14</f>
        <v>2223.38</v>
      </c>
    </row>
    <row r="17" spans="2:4" x14ac:dyDescent="0.2">
      <c r="B17" s="10" t="s">
        <v>25</v>
      </c>
      <c r="D17" s="11">
        <f>C16</f>
        <v>2223.38</v>
      </c>
    </row>
  </sheetData>
  <mergeCells count="1">
    <mergeCell ref="A1:D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Reconciliation</vt:lpstr>
      <vt:lpstr>Adjusting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User</dc:creator>
  <cp:lastModifiedBy>Microsoft Office User</cp:lastModifiedBy>
  <dcterms:created xsi:type="dcterms:W3CDTF">2012-05-05T20:17:47Z</dcterms:created>
  <dcterms:modified xsi:type="dcterms:W3CDTF">2020-10-14T17:22:27Z</dcterms:modified>
</cp:coreProperties>
</file>
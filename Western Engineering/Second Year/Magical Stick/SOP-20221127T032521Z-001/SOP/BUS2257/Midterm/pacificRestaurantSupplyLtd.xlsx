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ackpeplinski/Desktop/SOP/BUS_2257/"/>
    </mc:Choice>
  </mc:AlternateContent>
  <xr:revisionPtr revIDLastSave="0" documentId="13_ncr:1_{9256C44A-A225-AA49-89A4-5EB6BC213FE4}" xr6:coauthVersionLast="45" xr6:coauthVersionMax="45" xr10:uidLastSave="{00000000-0000-0000-0000-000000000000}"/>
  <bookViews>
    <workbookView xWindow="0" yWindow="460" windowWidth="28800" windowHeight="1534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" l="1"/>
  <c r="M4" i="1"/>
  <c r="N3" i="1" l="1"/>
  <c r="E33" i="1"/>
  <c r="N4" i="1" s="1"/>
  <c r="N9" i="1" s="1"/>
  <c r="E52" i="1"/>
  <c r="N5" i="1" s="1"/>
  <c r="M6" i="1"/>
  <c r="M7" i="1"/>
  <c r="M8" i="1"/>
  <c r="D59" i="1"/>
  <c r="G3" i="1"/>
  <c r="G4" i="1"/>
  <c r="G5" i="1"/>
  <c r="G6" i="1"/>
  <c r="G7" i="1"/>
  <c r="G8" i="1"/>
  <c r="H4" i="1"/>
  <c r="E37" i="1"/>
  <c r="H5" i="1"/>
  <c r="H6" i="1"/>
  <c r="H7" i="1"/>
  <c r="E67" i="1"/>
  <c r="H8" i="1"/>
  <c r="G9" i="1"/>
  <c r="H10" i="1" s="1"/>
  <c r="D87" i="1" s="1"/>
  <c r="E88" i="1" s="1"/>
  <c r="N6" i="1"/>
  <c r="N7" i="1"/>
  <c r="N8" i="1"/>
  <c r="J3" i="1"/>
  <c r="J13" i="1" s="1"/>
  <c r="J4" i="1"/>
  <c r="J5" i="1"/>
  <c r="J6" i="1"/>
  <c r="J7" i="1"/>
  <c r="J8" i="1"/>
  <c r="J9" i="1"/>
  <c r="J11" i="1"/>
  <c r="J12" i="1"/>
  <c r="K4" i="1"/>
  <c r="E18" i="1"/>
  <c r="K5" i="1" s="1"/>
  <c r="K6" i="1"/>
  <c r="K7" i="1"/>
  <c r="K8" i="1"/>
  <c r="K9" i="1"/>
  <c r="E74" i="1"/>
  <c r="K11" i="1"/>
  <c r="E85" i="1"/>
  <c r="E68" i="1"/>
  <c r="E56" i="1"/>
  <c r="D45" i="1"/>
  <c r="D44" i="1" s="1"/>
  <c r="E41" i="1"/>
  <c r="E29" i="1"/>
  <c r="D22" i="1"/>
  <c r="D21" i="1" s="1"/>
  <c r="E11" i="1"/>
  <c r="D78" i="1"/>
  <c r="D77" i="1"/>
  <c r="K12" i="1"/>
</calcChain>
</file>

<file path=xl/sharedStrings.xml><?xml version="1.0" encoding="utf-8"?>
<sst xmlns="http://schemas.openxmlformats.org/spreadsheetml/2006/main" count="83" uniqueCount="48">
  <si>
    <t>General Ledger</t>
  </si>
  <si>
    <t>COGS</t>
  </si>
  <si>
    <t>Opening Balances</t>
  </si>
  <si>
    <t>Accounts Receivable</t>
  </si>
  <si>
    <t>Inventory</t>
  </si>
  <si>
    <t>Accounts Payable</t>
  </si>
  <si>
    <t>[1]</t>
  </si>
  <si>
    <t xml:space="preserve">Sales </t>
  </si>
  <si>
    <t>No Entry</t>
  </si>
  <si>
    <t>[2]</t>
  </si>
  <si>
    <t>Sales Returns and Allowances</t>
  </si>
  <si>
    <t>[3]</t>
  </si>
  <si>
    <t>Cash</t>
  </si>
  <si>
    <t>Sales Discount</t>
  </si>
  <si>
    <t>4785*.02=96</t>
  </si>
  <si>
    <t>4785-96=4689</t>
  </si>
  <si>
    <t>[4]</t>
  </si>
  <si>
    <t>Sales</t>
  </si>
  <si>
    <t>[5]</t>
  </si>
  <si>
    <t>[6]</t>
  </si>
  <si>
    <t>[7]</t>
  </si>
  <si>
    <t>[8]</t>
  </si>
  <si>
    <t>Sales Discounts</t>
  </si>
  <si>
    <t>895*2%=18</t>
  </si>
  <si>
    <t>895-18=877</t>
  </si>
  <si>
    <t>[9]</t>
  </si>
  <si>
    <t>[10]</t>
  </si>
  <si>
    <t>Inventory (freight)</t>
  </si>
  <si>
    <t>[11]</t>
  </si>
  <si>
    <t>Sales Revenue</t>
  </si>
  <si>
    <t>[12]</t>
  </si>
  <si>
    <t>Inventory (Purchase Discounts)</t>
  </si>
  <si>
    <t>2840*4%=114</t>
  </si>
  <si>
    <t>2840-114=2726</t>
  </si>
  <si>
    <t>[13]</t>
  </si>
  <si>
    <t>[14]</t>
  </si>
  <si>
    <t>[15]</t>
  </si>
  <si>
    <t>[16]</t>
  </si>
  <si>
    <t>A/R</t>
  </si>
  <si>
    <t>A/P</t>
  </si>
  <si>
    <t>T/B</t>
  </si>
  <si>
    <t>E/B</t>
  </si>
  <si>
    <t>O/B</t>
  </si>
  <si>
    <t>45,122 (T/B) - 39,133 (E/B) = 5,989</t>
  </si>
  <si>
    <t>Pacific Restaurant Supply Ltd.</t>
  </si>
  <si>
    <t>625*2%=13</t>
  </si>
  <si>
    <t>625-13=612</t>
  </si>
  <si>
    <t>Sales Returns &amp;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</si>
</sst>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[$-1009]mmmm\ d\,\ 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indent="1"/>
    </xf>
    <xf numFmtId="165" fontId="0" fillId="0" borderId="0" xfId="1" applyNumberFormat="1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166" fontId="0" fillId="0" borderId="0" xfId="0" applyNumberFormat="1"/>
    <xf numFmtId="166" fontId="0" fillId="0" borderId="0" xfId="0" applyNumberFormat="1" applyAlignment="1">
      <alignment horizontal="left" indent="1"/>
    </xf>
    <xf numFmtId="166" fontId="0" fillId="0" borderId="0" xfId="0" applyNumberFormat="1" applyAlignment="1">
      <alignment horizontal="left"/>
    </xf>
    <xf numFmtId="166" fontId="2" fillId="0" borderId="0" xfId="0" applyNumberFormat="1" applyFont="1"/>
    <xf numFmtId="166" fontId="0" fillId="0" borderId="0" xfId="0" applyNumberFormat="1" applyAlignment="1">
      <alignment horizontal="left" indent="2"/>
    </xf>
    <xf numFmtId="165" fontId="0" fillId="0" borderId="2" xfId="0" applyNumberFormat="1" applyBorder="1"/>
    <xf numFmtId="165" fontId="0" fillId="0" borderId="0" xfId="0" applyNumberFormat="1"/>
    <xf numFmtId="165" fontId="0" fillId="0" borderId="3" xfId="0" applyNumberFormat="1" applyBorder="1"/>
    <xf numFmtId="166" fontId="0" fillId="0" borderId="3" xfId="0" applyNumberFormat="1" applyBorder="1"/>
    <xf numFmtId="165" fontId="0" fillId="0" borderId="7" xfId="0" applyNumberFormat="1" applyBorder="1"/>
    <xf numFmtId="166" fontId="0" fillId="0" borderId="5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3" fontId="0" fillId="0" borderId="2" xfId="0" applyNumberFormat="1" applyBorder="1"/>
    <xf numFmtId="0" fontId="0" fillId="0" borderId="4" xfId="0" applyBorder="1" applyAlignment="1">
      <alignment horizontal="center"/>
    </xf>
    <xf numFmtId="166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0"/>
  <sheetViews>
    <sheetView tabSelected="1" topLeftCell="B1" zoomScale="200" zoomScaleNormal="200" zoomScalePageLayoutView="200" workbookViewId="0">
      <selection activeCell="P9" sqref="P9"/>
    </sheetView>
  </sheetViews>
  <sheetFormatPr baseColWidth="10" defaultColWidth="8.83203125" defaultRowHeight="15" x14ac:dyDescent="0.2"/>
  <cols>
    <col min="1" max="1" width="3.83203125" customWidth="1"/>
    <col min="2" max="2" width="39.5" customWidth="1"/>
    <col min="3" max="3" width="1.5" customWidth="1"/>
  </cols>
  <sheetData>
    <row r="1" spans="1:14" x14ac:dyDescent="0.2">
      <c r="A1" s="23" t="s">
        <v>44</v>
      </c>
      <c r="B1" s="23"/>
      <c r="C1" s="23"/>
      <c r="D1" s="23"/>
      <c r="E1" s="23"/>
    </row>
    <row r="2" spans="1:14" ht="16" thickBot="1" x14ac:dyDescent="0.25">
      <c r="A2" s="24" t="s">
        <v>0</v>
      </c>
      <c r="B2" s="24"/>
      <c r="C2" s="24"/>
      <c r="D2" s="24"/>
      <c r="E2" s="24"/>
      <c r="G2" s="21" t="s">
        <v>4</v>
      </c>
      <c r="H2" s="21"/>
      <c r="J2" s="21" t="s">
        <v>38</v>
      </c>
      <c r="K2" s="21"/>
      <c r="M2" s="21" t="s">
        <v>39</v>
      </c>
      <c r="N2" s="21"/>
    </row>
    <row r="3" spans="1:14" x14ac:dyDescent="0.2">
      <c r="G3" s="12">
        <f>D6</f>
        <v>30110</v>
      </c>
      <c r="H3" t="s">
        <v>42</v>
      </c>
      <c r="J3" s="12">
        <f>D5</f>
        <v>7213</v>
      </c>
      <c r="K3" t="s">
        <v>42</v>
      </c>
      <c r="M3" s="3" t="s">
        <v>42</v>
      </c>
      <c r="N3" s="13">
        <f>E7</f>
        <v>2605</v>
      </c>
    </row>
    <row r="4" spans="1:14" x14ac:dyDescent="0.2">
      <c r="B4" t="s">
        <v>2</v>
      </c>
      <c r="D4" s="2"/>
      <c r="E4" s="2"/>
      <c r="G4" s="14">
        <f>D32</f>
        <v>12900</v>
      </c>
      <c r="H4" s="7" t="str">
        <f>A32</f>
        <v>[5]</v>
      </c>
      <c r="J4" s="14">
        <f>D10</f>
        <v>5644</v>
      </c>
      <c r="K4" s="7" t="str">
        <f>A10</f>
        <v>[1]</v>
      </c>
      <c r="M4" s="15" t="str">
        <f>H4</f>
        <v>[5]</v>
      </c>
      <c r="N4" s="13">
        <f>E33</f>
        <v>12900</v>
      </c>
    </row>
    <row r="5" spans="1:14" x14ac:dyDescent="0.2">
      <c r="B5" s="1" t="s">
        <v>3</v>
      </c>
      <c r="D5" s="2">
        <v>7213</v>
      </c>
      <c r="E5" s="2"/>
      <c r="G5" s="15" t="str">
        <f>A36</f>
        <v>[6]</v>
      </c>
      <c r="H5" s="13">
        <f>E37</f>
        <v>690</v>
      </c>
      <c r="J5" s="15" t="str">
        <f>A17</f>
        <v>[2]</v>
      </c>
      <c r="K5" s="13">
        <f>E18</f>
        <v>189</v>
      </c>
      <c r="M5" s="15" t="str">
        <f>H6</f>
        <v>[9]</v>
      </c>
      <c r="N5" s="13">
        <f>E52</f>
        <v>2840</v>
      </c>
    </row>
    <row r="6" spans="1:14" x14ac:dyDescent="0.2">
      <c r="B6" s="1" t="s">
        <v>4</v>
      </c>
      <c r="D6" s="2">
        <v>30110</v>
      </c>
      <c r="E6" s="2"/>
      <c r="G6" s="14">
        <f>D51</f>
        <v>2840</v>
      </c>
      <c r="H6" s="7" t="str">
        <f>A51</f>
        <v>[9]</v>
      </c>
      <c r="J6" s="15" t="str">
        <f>A21</f>
        <v>[3]</v>
      </c>
      <c r="K6" s="13">
        <f>E23</f>
        <v>4785</v>
      </c>
      <c r="M6" s="14">
        <f>D36</f>
        <v>690</v>
      </c>
      <c r="N6" s="7" t="str">
        <f>A36</f>
        <v>[6]</v>
      </c>
    </row>
    <row r="7" spans="1:14" x14ac:dyDescent="0.2">
      <c r="B7" s="1" t="s">
        <v>5</v>
      </c>
      <c r="D7" s="2"/>
      <c r="E7" s="2">
        <v>2605</v>
      </c>
      <c r="G7" s="14">
        <f>D55</f>
        <v>76</v>
      </c>
      <c r="H7" s="17" t="str">
        <f>A55</f>
        <v>[10]</v>
      </c>
      <c r="J7" s="14">
        <f>D28</f>
        <v>895</v>
      </c>
      <c r="K7" s="7" t="str">
        <f>A28</f>
        <v>[4]</v>
      </c>
      <c r="M7" s="14">
        <f>D40</f>
        <v>2605</v>
      </c>
      <c r="N7" s="7" t="str">
        <f>A40</f>
        <v>[7]</v>
      </c>
    </row>
    <row r="8" spans="1:14" x14ac:dyDescent="0.2">
      <c r="B8" s="1"/>
      <c r="D8" s="2"/>
      <c r="E8" s="2"/>
      <c r="G8" s="7" t="str">
        <f>A66</f>
        <v>[12]</v>
      </c>
      <c r="H8" s="18">
        <f>E67</f>
        <v>113.60000000000001</v>
      </c>
      <c r="J8" s="15" t="str">
        <f>A44</f>
        <v>[8]</v>
      </c>
      <c r="K8" s="13">
        <f>E46</f>
        <v>895</v>
      </c>
      <c r="M8" s="14">
        <f>D66</f>
        <v>2840</v>
      </c>
      <c r="N8" s="7" t="str">
        <f>A66</f>
        <v>[12]</v>
      </c>
    </row>
    <row r="9" spans="1:14" x14ac:dyDescent="0.2">
      <c r="A9" s="22">
        <v>37347</v>
      </c>
      <c r="B9" s="22"/>
      <c r="D9" s="2"/>
      <c r="E9" s="2"/>
      <c r="G9" s="12">
        <f>SUM(G3:G8)-SUM(H3:H8)</f>
        <v>45122.400000000001</v>
      </c>
      <c r="H9" s="6" t="s">
        <v>40</v>
      </c>
      <c r="J9" s="14">
        <f>D59</f>
        <v>690</v>
      </c>
      <c r="K9" s="7" t="str">
        <f>A59</f>
        <v>[11]</v>
      </c>
      <c r="M9" s="3" t="s">
        <v>41</v>
      </c>
      <c r="N9" s="19">
        <f>SUM(N3:N5)-SUM(M6:M8)</f>
        <v>12210</v>
      </c>
    </row>
    <row r="10" spans="1:14" x14ac:dyDescent="0.2">
      <c r="A10" s="7" t="s">
        <v>6</v>
      </c>
      <c r="B10" s="7" t="s">
        <v>3</v>
      </c>
      <c r="D10" s="2">
        <v>5644</v>
      </c>
      <c r="E10" s="2"/>
      <c r="G10" s="4" t="s">
        <v>1</v>
      </c>
      <c r="H10" s="18">
        <f>G9-G11</f>
        <v>5989.4000000000015</v>
      </c>
      <c r="J10" s="4" t="s">
        <v>30</v>
      </c>
      <c r="K10">
        <v>65</v>
      </c>
      <c r="M10" s="4"/>
    </row>
    <row r="11" spans="1:14" x14ac:dyDescent="0.2">
      <c r="A11" s="7"/>
      <c r="B11" s="11" t="s">
        <v>7</v>
      </c>
      <c r="D11" s="2"/>
      <c r="E11" s="2">
        <f>D10</f>
        <v>5644</v>
      </c>
      <c r="G11" s="20">
        <v>39133</v>
      </c>
      <c r="H11" s="6" t="s">
        <v>41</v>
      </c>
      <c r="J11" s="15" t="str">
        <f>A73</f>
        <v>[13]</v>
      </c>
      <c r="K11" s="13">
        <f>E74</f>
        <v>1800</v>
      </c>
      <c r="M11" s="4"/>
    </row>
    <row r="12" spans="1:14" x14ac:dyDescent="0.2">
      <c r="A12" s="7"/>
      <c r="B12" s="7"/>
      <c r="D12" s="2"/>
      <c r="E12" s="2"/>
      <c r="J12" s="15" t="str">
        <f>A77</f>
        <v>[14]</v>
      </c>
      <c r="K12" s="16">
        <f>E79</f>
        <v>625</v>
      </c>
    </row>
    <row r="13" spans="1:14" x14ac:dyDescent="0.2">
      <c r="A13" s="22">
        <v>37348</v>
      </c>
      <c r="B13" s="22"/>
      <c r="D13" s="2"/>
      <c r="E13" s="2"/>
      <c r="J13" s="12">
        <f>SUM(J3:J12)-SUM(K3:K12)</f>
        <v>6083</v>
      </c>
      <c r="K13" s="5" t="s">
        <v>41</v>
      </c>
    </row>
    <row r="14" spans="1:14" x14ac:dyDescent="0.2">
      <c r="A14" s="7"/>
      <c r="B14" s="8" t="s">
        <v>8</v>
      </c>
      <c r="D14" s="2"/>
      <c r="E14" s="2"/>
    </row>
    <row r="15" spans="1:14" x14ac:dyDescent="0.2">
      <c r="A15" s="7"/>
      <c r="B15" s="7"/>
      <c r="D15" s="2"/>
      <c r="E15" s="2"/>
    </row>
    <row r="16" spans="1:14" x14ac:dyDescent="0.2">
      <c r="A16" s="22">
        <v>37349</v>
      </c>
      <c r="B16" s="22"/>
      <c r="D16" s="2"/>
      <c r="E16" s="2"/>
    </row>
    <row r="17" spans="1:5" x14ac:dyDescent="0.2">
      <c r="A17" s="7" t="s">
        <v>9</v>
      </c>
      <c r="B17" s="9" t="s">
        <v>10</v>
      </c>
      <c r="D17" s="2">
        <v>189</v>
      </c>
      <c r="E17" s="2"/>
    </row>
    <row r="18" spans="1:5" x14ac:dyDescent="0.2">
      <c r="A18" s="7"/>
      <c r="B18" s="8" t="s">
        <v>3</v>
      </c>
      <c r="D18" s="2"/>
      <c r="E18" s="2">
        <f>D17</f>
        <v>189</v>
      </c>
    </row>
    <row r="19" spans="1:5" x14ac:dyDescent="0.2">
      <c r="A19" s="7"/>
      <c r="B19" s="7"/>
      <c r="D19" s="2"/>
      <c r="E19" s="2"/>
    </row>
    <row r="20" spans="1:5" x14ac:dyDescent="0.2">
      <c r="A20" s="22">
        <v>37350</v>
      </c>
      <c r="B20" s="22"/>
      <c r="D20" s="2"/>
      <c r="E20" s="2"/>
    </row>
    <row r="21" spans="1:5" x14ac:dyDescent="0.2">
      <c r="A21" s="7" t="s">
        <v>11</v>
      </c>
      <c r="B21" s="7" t="s">
        <v>12</v>
      </c>
      <c r="D21" s="2">
        <f>E23-D22</f>
        <v>4689.3</v>
      </c>
      <c r="E21" s="2"/>
    </row>
    <row r="22" spans="1:5" x14ac:dyDescent="0.2">
      <c r="A22" s="7"/>
      <c r="B22" s="7" t="s">
        <v>13</v>
      </c>
      <c r="D22" s="2">
        <f>4785*0.02</f>
        <v>95.7</v>
      </c>
      <c r="E22" s="2"/>
    </row>
    <row r="23" spans="1:5" x14ac:dyDescent="0.2">
      <c r="A23" s="7"/>
      <c r="B23" s="8" t="s">
        <v>3</v>
      </c>
      <c r="D23" s="2"/>
      <c r="E23" s="2">
        <v>4785</v>
      </c>
    </row>
    <row r="24" spans="1:5" x14ac:dyDescent="0.2">
      <c r="A24" s="7"/>
      <c r="B24" s="9" t="s">
        <v>14</v>
      </c>
      <c r="D24" s="2"/>
      <c r="E24" s="2"/>
    </row>
    <row r="25" spans="1:5" x14ac:dyDescent="0.2">
      <c r="A25" s="7"/>
      <c r="B25" s="7" t="s">
        <v>15</v>
      </c>
      <c r="D25" s="2"/>
      <c r="E25" s="2"/>
    </row>
    <row r="26" spans="1:5" x14ac:dyDescent="0.2">
      <c r="A26" s="7"/>
      <c r="B26" s="7"/>
      <c r="D26" s="2"/>
      <c r="E26" s="2"/>
    </row>
    <row r="27" spans="1:5" x14ac:dyDescent="0.2">
      <c r="A27" s="22">
        <v>37354</v>
      </c>
      <c r="B27" s="22"/>
      <c r="D27" s="2"/>
      <c r="E27" s="2"/>
    </row>
    <row r="28" spans="1:5" x14ac:dyDescent="0.2">
      <c r="A28" s="7" t="s">
        <v>16</v>
      </c>
      <c r="B28" s="7" t="s">
        <v>3</v>
      </c>
      <c r="D28" s="2">
        <v>895</v>
      </c>
      <c r="E28" s="2"/>
    </row>
    <row r="29" spans="1:5" x14ac:dyDescent="0.2">
      <c r="A29" s="7"/>
      <c r="B29" s="8" t="s">
        <v>17</v>
      </c>
      <c r="D29" s="2"/>
      <c r="E29" s="2">
        <f>D28</f>
        <v>895</v>
      </c>
    </row>
    <row r="30" spans="1:5" x14ac:dyDescent="0.2">
      <c r="A30" s="7"/>
      <c r="B30" s="8"/>
      <c r="D30" s="2"/>
      <c r="E30" s="2"/>
    </row>
    <row r="31" spans="1:5" x14ac:dyDescent="0.2">
      <c r="A31" s="22">
        <v>37355</v>
      </c>
      <c r="B31" s="22"/>
      <c r="D31" s="2"/>
      <c r="E31" s="2"/>
    </row>
    <row r="32" spans="1:5" x14ac:dyDescent="0.2">
      <c r="A32" s="7" t="s">
        <v>18</v>
      </c>
      <c r="B32" s="7" t="s">
        <v>4</v>
      </c>
      <c r="D32" s="2">
        <v>12900</v>
      </c>
      <c r="E32" s="2"/>
    </row>
    <row r="33" spans="1:5" x14ac:dyDescent="0.2">
      <c r="A33" s="7"/>
      <c r="B33" s="11" t="s">
        <v>5</v>
      </c>
      <c r="D33" s="2"/>
      <c r="E33" s="2">
        <f>D32</f>
        <v>12900</v>
      </c>
    </row>
    <row r="34" spans="1:5" x14ac:dyDescent="0.2">
      <c r="A34" s="7"/>
      <c r="B34" s="7"/>
      <c r="D34" s="2"/>
      <c r="E34" s="2"/>
    </row>
    <row r="35" spans="1:5" x14ac:dyDescent="0.2">
      <c r="A35" s="22">
        <v>37356</v>
      </c>
      <c r="B35" s="22"/>
      <c r="D35" s="2"/>
      <c r="E35" s="2"/>
    </row>
    <row r="36" spans="1:5" x14ac:dyDescent="0.2">
      <c r="A36" s="7" t="s">
        <v>19</v>
      </c>
      <c r="B36" s="9" t="s">
        <v>5</v>
      </c>
      <c r="D36" s="2">
        <v>690</v>
      </c>
      <c r="E36" s="2"/>
    </row>
    <row r="37" spans="1:5" x14ac:dyDescent="0.2">
      <c r="A37" s="7"/>
      <c r="B37" s="8" t="s">
        <v>4</v>
      </c>
      <c r="D37" s="2"/>
      <c r="E37" s="2">
        <f>D36</f>
        <v>690</v>
      </c>
    </row>
    <row r="38" spans="1:5" x14ac:dyDescent="0.2">
      <c r="A38" s="7"/>
      <c r="B38" s="7"/>
      <c r="D38" s="2"/>
      <c r="E38" s="2"/>
    </row>
    <row r="39" spans="1:5" x14ac:dyDescent="0.2">
      <c r="A39" s="22">
        <v>37358</v>
      </c>
      <c r="B39" s="22"/>
      <c r="D39" s="2"/>
      <c r="E39" s="2"/>
    </row>
    <row r="40" spans="1:5" x14ac:dyDescent="0.2">
      <c r="A40" s="7" t="s">
        <v>20</v>
      </c>
      <c r="B40" s="7" t="s">
        <v>5</v>
      </c>
      <c r="D40" s="2">
        <v>2605</v>
      </c>
      <c r="E40" s="2"/>
    </row>
    <row r="41" spans="1:5" x14ac:dyDescent="0.2">
      <c r="A41" s="7"/>
      <c r="B41" s="8" t="s">
        <v>12</v>
      </c>
      <c r="D41" s="2"/>
      <c r="E41" s="2">
        <f>D40</f>
        <v>2605</v>
      </c>
    </row>
    <row r="42" spans="1:5" x14ac:dyDescent="0.2">
      <c r="A42" s="7"/>
      <c r="B42" s="8"/>
      <c r="D42" s="2"/>
      <c r="E42" s="2"/>
    </row>
    <row r="43" spans="1:5" x14ac:dyDescent="0.2">
      <c r="A43" s="22">
        <v>37361</v>
      </c>
      <c r="B43" s="22"/>
      <c r="D43" s="2"/>
      <c r="E43" s="2"/>
    </row>
    <row r="44" spans="1:5" x14ac:dyDescent="0.2">
      <c r="A44" s="7" t="s">
        <v>21</v>
      </c>
      <c r="B44" s="7" t="s">
        <v>12</v>
      </c>
      <c r="D44" s="2">
        <f>E46-D45</f>
        <v>877.1</v>
      </c>
      <c r="E44" s="2"/>
    </row>
    <row r="45" spans="1:5" x14ac:dyDescent="0.2">
      <c r="A45" s="7"/>
      <c r="B45" s="9" t="s">
        <v>22</v>
      </c>
      <c r="D45" s="2">
        <f>E46*0.02</f>
        <v>17.900000000000002</v>
      </c>
      <c r="E45" s="2"/>
    </row>
    <row r="46" spans="1:5" x14ac:dyDescent="0.2">
      <c r="A46" s="7"/>
      <c r="B46" s="8" t="s">
        <v>3</v>
      </c>
      <c r="D46" s="2"/>
      <c r="E46" s="2">
        <v>895</v>
      </c>
    </row>
    <row r="47" spans="1:5" x14ac:dyDescent="0.2">
      <c r="A47" s="7"/>
      <c r="B47" s="7" t="s">
        <v>23</v>
      </c>
      <c r="D47" s="2"/>
      <c r="E47" s="2"/>
    </row>
    <row r="48" spans="1:5" x14ac:dyDescent="0.2">
      <c r="A48" s="7"/>
      <c r="B48" s="9" t="s">
        <v>24</v>
      </c>
      <c r="D48" s="2"/>
      <c r="E48" s="2"/>
    </row>
    <row r="49" spans="1:5" x14ac:dyDescent="0.2">
      <c r="A49" s="7"/>
      <c r="B49" s="7"/>
      <c r="D49" s="2"/>
      <c r="E49" s="2"/>
    </row>
    <row r="50" spans="1:5" x14ac:dyDescent="0.2">
      <c r="A50" s="22">
        <v>37362</v>
      </c>
      <c r="B50" s="22"/>
      <c r="D50" s="2"/>
      <c r="E50" s="2"/>
    </row>
    <row r="51" spans="1:5" x14ac:dyDescent="0.2">
      <c r="A51" s="7" t="s">
        <v>25</v>
      </c>
      <c r="B51" s="9" t="s">
        <v>4</v>
      </c>
      <c r="D51" s="2">
        <v>2840</v>
      </c>
      <c r="E51" s="2"/>
    </row>
    <row r="52" spans="1:5" x14ac:dyDescent="0.2">
      <c r="A52" s="7"/>
      <c r="B52" s="8" t="s">
        <v>5</v>
      </c>
      <c r="D52" s="2"/>
      <c r="E52" s="2">
        <f>D51</f>
        <v>2840</v>
      </c>
    </row>
    <row r="53" spans="1:5" x14ac:dyDescent="0.2">
      <c r="A53" s="7"/>
      <c r="B53" s="7"/>
      <c r="D53" s="2"/>
      <c r="E53" s="2"/>
    </row>
    <row r="54" spans="1:5" x14ac:dyDescent="0.2">
      <c r="A54" s="22">
        <v>37364</v>
      </c>
      <c r="B54" s="22"/>
      <c r="D54" s="2"/>
      <c r="E54" s="2"/>
    </row>
    <row r="55" spans="1:5" x14ac:dyDescent="0.2">
      <c r="A55" s="7" t="s">
        <v>26</v>
      </c>
      <c r="B55" s="7" t="s">
        <v>27</v>
      </c>
      <c r="D55" s="2">
        <v>76</v>
      </c>
      <c r="E55" s="2"/>
    </row>
    <row r="56" spans="1:5" x14ac:dyDescent="0.2">
      <c r="A56" s="7"/>
      <c r="B56" s="8" t="s">
        <v>12</v>
      </c>
      <c r="D56" s="2"/>
      <c r="E56" s="2">
        <f>D55</f>
        <v>76</v>
      </c>
    </row>
    <row r="57" spans="1:5" x14ac:dyDescent="0.2">
      <c r="A57" s="7"/>
      <c r="B57" s="7"/>
      <c r="D57" s="2"/>
      <c r="E57" s="2"/>
    </row>
    <row r="58" spans="1:5" x14ac:dyDescent="0.2">
      <c r="A58" s="22">
        <v>37368</v>
      </c>
      <c r="B58" s="22"/>
      <c r="D58" s="2"/>
      <c r="E58" s="2"/>
    </row>
    <row r="59" spans="1:5" x14ac:dyDescent="0.2">
      <c r="A59" s="7" t="s">
        <v>28</v>
      </c>
      <c r="B59" s="7" t="s">
        <v>3</v>
      </c>
      <c r="D59" s="2">
        <f>E60</f>
        <v>690</v>
      </c>
      <c r="E59" s="2"/>
    </row>
    <row r="60" spans="1:5" x14ac:dyDescent="0.2">
      <c r="A60" s="7"/>
      <c r="B60" s="8" t="s">
        <v>29</v>
      </c>
      <c r="D60" s="2"/>
      <c r="E60" s="2">
        <v>690</v>
      </c>
    </row>
    <row r="61" spans="1:5" x14ac:dyDescent="0.2">
      <c r="A61" s="7"/>
      <c r="B61" s="7"/>
      <c r="D61" s="2"/>
      <c r="E61" s="2"/>
    </row>
    <row r="62" spans="1:5" x14ac:dyDescent="0.2">
      <c r="A62" s="7" t="s">
        <v>30</v>
      </c>
      <c r="B62" s="7" t="s">
        <v>47</v>
      </c>
      <c r="D62" s="2">
        <v>65</v>
      </c>
      <c r="E62" s="2"/>
    </row>
    <row r="63" spans="1:5" x14ac:dyDescent="0.2">
      <c r="A63" s="7"/>
      <c r="B63" s="8" t="s">
        <v>3</v>
      </c>
      <c r="D63" s="2"/>
      <c r="E63" s="2">
        <v>65</v>
      </c>
    </row>
    <row r="64" spans="1:5" x14ac:dyDescent="0.2">
      <c r="A64" s="7"/>
      <c r="B64" s="7"/>
      <c r="D64" s="2"/>
      <c r="E64" s="2"/>
    </row>
    <row r="65" spans="1:5" x14ac:dyDescent="0.2">
      <c r="A65" s="22">
        <v>37370</v>
      </c>
      <c r="B65" s="22"/>
      <c r="D65" s="2"/>
      <c r="E65" s="2"/>
    </row>
    <row r="66" spans="1:5" x14ac:dyDescent="0.2">
      <c r="A66" s="7" t="s">
        <v>30</v>
      </c>
      <c r="B66" s="7" t="s">
        <v>5</v>
      </c>
      <c r="D66" s="2">
        <v>2840</v>
      </c>
      <c r="E66" s="2"/>
    </row>
    <row r="67" spans="1:5" x14ac:dyDescent="0.2">
      <c r="A67" s="7"/>
      <c r="B67" s="8" t="s">
        <v>31</v>
      </c>
      <c r="D67" s="2"/>
      <c r="E67" s="2">
        <f>D66*0.04</f>
        <v>113.60000000000001</v>
      </c>
    </row>
    <row r="68" spans="1:5" x14ac:dyDescent="0.2">
      <c r="A68" s="7"/>
      <c r="B68" s="8" t="s">
        <v>12</v>
      </c>
      <c r="D68" s="2"/>
      <c r="E68" s="2">
        <f>D66-E67</f>
        <v>2726.4</v>
      </c>
    </row>
    <row r="69" spans="1:5" x14ac:dyDescent="0.2">
      <c r="A69" s="7"/>
      <c r="B69" s="7" t="s">
        <v>32</v>
      </c>
      <c r="D69" s="2"/>
      <c r="E69" s="2"/>
    </row>
    <row r="70" spans="1:5" x14ac:dyDescent="0.2">
      <c r="A70" s="7"/>
      <c r="B70" s="7" t="s">
        <v>33</v>
      </c>
      <c r="D70" s="2"/>
      <c r="E70" s="2"/>
    </row>
    <row r="71" spans="1:5" x14ac:dyDescent="0.2">
      <c r="A71" s="7"/>
      <c r="B71" s="7"/>
      <c r="D71" s="2"/>
      <c r="E71" s="2"/>
    </row>
    <row r="72" spans="1:5" x14ac:dyDescent="0.2">
      <c r="A72" s="22">
        <v>37371</v>
      </c>
      <c r="B72" s="22"/>
      <c r="D72" s="2"/>
      <c r="E72" s="2"/>
    </row>
    <row r="73" spans="1:5" x14ac:dyDescent="0.2">
      <c r="A73" s="7" t="s">
        <v>34</v>
      </c>
      <c r="B73" s="9" t="s">
        <v>12</v>
      </c>
      <c r="D73" s="2">
        <v>1800</v>
      </c>
      <c r="E73" s="2"/>
    </row>
    <row r="74" spans="1:5" x14ac:dyDescent="0.2">
      <c r="A74" s="7"/>
      <c r="B74" s="8" t="s">
        <v>3</v>
      </c>
      <c r="D74" s="2"/>
      <c r="E74" s="2">
        <f>D73</f>
        <v>1800</v>
      </c>
    </row>
    <row r="75" spans="1:5" x14ac:dyDescent="0.2">
      <c r="A75" s="7"/>
      <c r="B75" s="7"/>
      <c r="D75" s="2"/>
      <c r="E75" s="2"/>
    </row>
    <row r="76" spans="1:5" x14ac:dyDescent="0.2">
      <c r="A76" s="22">
        <v>37375</v>
      </c>
      <c r="B76" s="22"/>
      <c r="D76" s="2"/>
      <c r="E76" s="2"/>
    </row>
    <row r="77" spans="1:5" x14ac:dyDescent="0.2">
      <c r="A77" s="7" t="s">
        <v>35</v>
      </c>
      <c r="B77" s="7" t="s">
        <v>12</v>
      </c>
      <c r="D77" s="2">
        <f>E79-D78</f>
        <v>612.5</v>
      </c>
      <c r="E77" s="2"/>
    </row>
    <row r="78" spans="1:5" x14ac:dyDescent="0.2">
      <c r="A78" s="7"/>
      <c r="B78" s="7" t="s">
        <v>22</v>
      </c>
      <c r="D78" s="2">
        <f>E79*0.02</f>
        <v>12.5</v>
      </c>
      <c r="E78" s="2"/>
    </row>
    <row r="79" spans="1:5" x14ac:dyDescent="0.2">
      <c r="A79" s="7"/>
      <c r="B79" s="8" t="s">
        <v>3</v>
      </c>
      <c r="D79" s="2"/>
      <c r="E79" s="2">
        <v>625</v>
      </c>
    </row>
    <row r="80" spans="1:5" x14ac:dyDescent="0.2">
      <c r="A80" s="7"/>
      <c r="B80" s="9" t="s">
        <v>45</v>
      </c>
      <c r="D80" s="2"/>
      <c r="E80" s="2"/>
    </row>
    <row r="81" spans="1:5" x14ac:dyDescent="0.2">
      <c r="A81" s="7"/>
      <c r="B81" s="9" t="s">
        <v>46</v>
      </c>
      <c r="D81" s="2"/>
      <c r="E81" s="2"/>
    </row>
    <row r="82" spans="1:5" x14ac:dyDescent="0.2">
      <c r="A82" s="7"/>
      <c r="B82" s="7"/>
      <c r="D82" s="2"/>
      <c r="E82" s="2"/>
    </row>
    <row r="83" spans="1:5" x14ac:dyDescent="0.2">
      <c r="A83" s="22">
        <v>37376</v>
      </c>
      <c r="B83" s="22"/>
      <c r="D83" s="2"/>
      <c r="E83" s="2"/>
    </row>
    <row r="84" spans="1:5" x14ac:dyDescent="0.2">
      <c r="A84" s="7" t="s">
        <v>36</v>
      </c>
      <c r="B84" s="7" t="s">
        <v>12</v>
      </c>
      <c r="D84" s="2">
        <v>3890</v>
      </c>
      <c r="E84" s="2"/>
    </row>
    <row r="85" spans="1:5" x14ac:dyDescent="0.2">
      <c r="A85" s="7"/>
      <c r="B85" s="8" t="s">
        <v>29</v>
      </c>
      <c r="D85" s="2"/>
      <c r="E85" s="2">
        <f>D84</f>
        <v>3890</v>
      </c>
    </row>
    <row r="86" spans="1:5" x14ac:dyDescent="0.2">
      <c r="A86" s="7"/>
      <c r="B86" s="7"/>
      <c r="D86" s="2"/>
      <c r="E86" s="2"/>
    </row>
    <row r="87" spans="1:5" x14ac:dyDescent="0.2">
      <c r="A87" s="7" t="s">
        <v>37</v>
      </c>
      <c r="B87" s="9" t="s">
        <v>1</v>
      </c>
      <c r="D87" s="2">
        <f>H10</f>
        <v>5989.4000000000015</v>
      </c>
      <c r="E87" s="2"/>
    </row>
    <row r="88" spans="1:5" x14ac:dyDescent="0.2">
      <c r="A88" s="7"/>
      <c r="B88" s="8" t="s">
        <v>4</v>
      </c>
      <c r="D88" s="2"/>
      <c r="E88" s="2">
        <f>D87</f>
        <v>5989.4000000000015</v>
      </c>
    </row>
    <row r="89" spans="1:5" x14ac:dyDescent="0.2">
      <c r="A89" s="7"/>
      <c r="B89" s="7" t="s">
        <v>43</v>
      </c>
      <c r="D89" s="2"/>
      <c r="E89" s="2"/>
    </row>
    <row r="90" spans="1:5" x14ac:dyDescent="0.2">
      <c r="A90" s="7"/>
      <c r="B90" s="7"/>
      <c r="D90" s="2"/>
      <c r="E90" s="2"/>
    </row>
    <row r="91" spans="1:5" x14ac:dyDescent="0.2">
      <c r="A91" s="7"/>
      <c r="B91" s="8"/>
      <c r="D91" s="2"/>
      <c r="E91" s="2"/>
    </row>
    <row r="92" spans="1:5" x14ac:dyDescent="0.2">
      <c r="A92" s="7"/>
      <c r="B92" s="7"/>
      <c r="D92" s="2"/>
      <c r="E92" s="2"/>
    </row>
    <row r="93" spans="1:5" x14ac:dyDescent="0.2">
      <c r="A93" s="7"/>
      <c r="B93" s="7"/>
      <c r="D93" s="2"/>
      <c r="E93" s="2"/>
    </row>
    <row r="94" spans="1:5" x14ac:dyDescent="0.2">
      <c r="A94" s="7"/>
      <c r="B94" s="7"/>
      <c r="D94" s="2"/>
      <c r="E94" s="2"/>
    </row>
    <row r="95" spans="1:5" x14ac:dyDescent="0.2">
      <c r="A95" s="7"/>
      <c r="B95" s="8"/>
      <c r="D95" s="2"/>
      <c r="E95" s="2"/>
    </row>
    <row r="96" spans="1:5" x14ac:dyDescent="0.2">
      <c r="A96" s="7"/>
      <c r="B96" s="7"/>
      <c r="D96" s="2"/>
      <c r="E96" s="2"/>
    </row>
    <row r="97" spans="1:5" x14ac:dyDescent="0.2">
      <c r="A97" s="7"/>
      <c r="B97" s="7"/>
      <c r="D97" s="2"/>
      <c r="E97" s="2"/>
    </row>
    <row r="98" spans="1:5" x14ac:dyDescent="0.2">
      <c r="A98" s="7"/>
      <c r="B98" s="10"/>
      <c r="D98" s="2"/>
      <c r="E98" s="2"/>
    </row>
    <row r="99" spans="1:5" x14ac:dyDescent="0.2">
      <c r="A99" s="7"/>
      <c r="B99" s="7"/>
      <c r="D99" s="2"/>
      <c r="E99" s="2"/>
    </row>
    <row r="100" spans="1:5" x14ac:dyDescent="0.2">
      <c r="A100" s="7"/>
      <c r="B100" s="7"/>
      <c r="D100" s="2"/>
      <c r="E100" s="2"/>
    </row>
    <row r="101" spans="1:5" x14ac:dyDescent="0.2">
      <c r="A101" s="7"/>
      <c r="B101" s="7"/>
      <c r="D101" s="2"/>
      <c r="E101" s="2"/>
    </row>
    <row r="102" spans="1:5" x14ac:dyDescent="0.2">
      <c r="A102" s="7"/>
      <c r="B102" s="7"/>
      <c r="D102" s="2"/>
      <c r="E102" s="2"/>
    </row>
    <row r="103" spans="1:5" x14ac:dyDescent="0.2">
      <c r="A103" s="7"/>
      <c r="B103" s="7"/>
      <c r="D103" s="2"/>
      <c r="E103" s="2"/>
    </row>
    <row r="104" spans="1:5" x14ac:dyDescent="0.2">
      <c r="A104" s="7"/>
      <c r="B104" s="7"/>
      <c r="D104" s="2"/>
      <c r="E104" s="2"/>
    </row>
    <row r="105" spans="1:5" x14ac:dyDescent="0.2">
      <c r="A105" s="7"/>
      <c r="B105" s="7"/>
      <c r="D105" s="2"/>
      <c r="E105" s="2"/>
    </row>
    <row r="106" spans="1:5" x14ac:dyDescent="0.2">
      <c r="A106" s="7"/>
      <c r="B106" s="7"/>
      <c r="D106" s="2"/>
      <c r="E106" s="2"/>
    </row>
    <row r="107" spans="1:5" x14ac:dyDescent="0.2">
      <c r="A107" s="7"/>
      <c r="B107" s="7"/>
      <c r="D107" s="2"/>
      <c r="E107" s="2"/>
    </row>
    <row r="108" spans="1:5" x14ac:dyDescent="0.2">
      <c r="A108" s="7"/>
      <c r="B108" s="7"/>
      <c r="D108" s="2"/>
      <c r="E108" s="2"/>
    </row>
    <row r="109" spans="1:5" x14ac:dyDescent="0.2">
      <c r="A109" s="7"/>
      <c r="B109" s="7"/>
      <c r="D109" s="2"/>
      <c r="E109" s="2"/>
    </row>
    <row r="110" spans="1:5" x14ac:dyDescent="0.2">
      <c r="A110" s="7"/>
      <c r="B110" s="7"/>
      <c r="D110" s="2"/>
      <c r="E110" s="2"/>
    </row>
    <row r="111" spans="1:5" x14ac:dyDescent="0.2">
      <c r="A111" s="7"/>
      <c r="B111" s="7"/>
      <c r="D111" s="2"/>
      <c r="E111" s="2"/>
    </row>
    <row r="112" spans="1:5" x14ac:dyDescent="0.2">
      <c r="A112" s="7"/>
      <c r="B112" s="7"/>
      <c r="D112" s="2"/>
      <c r="E112" s="2"/>
    </row>
    <row r="113" spans="1:5" x14ac:dyDescent="0.2">
      <c r="A113" s="7"/>
      <c r="B113" s="7"/>
      <c r="D113" s="2"/>
      <c r="E113" s="2"/>
    </row>
    <row r="114" spans="1:5" x14ac:dyDescent="0.2">
      <c r="A114" s="7"/>
      <c r="B114" s="7"/>
      <c r="D114" s="2"/>
      <c r="E114" s="2"/>
    </row>
    <row r="115" spans="1:5" x14ac:dyDescent="0.2">
      <c r="A115" s="7"/>
      <c r="B115" s="7"/>
      <c r="D115" s="2"/>
      <c r="E115" s="2"/>
    </row>
    <row r="116" spans="1:5" x14ac:dyDescent="0.2">
      <c r="A116" s="7"/>
      <c r="B116" s="7"/>
      <c r="D116" s="2"/>
      <c r="E116" s="2"/>
    </row>
    <row r="117" spans="1:5" x14ac:dyDescent="0.2">
      <c r="A117" s="7"/>
      <c r="B117" s="7"/>
      <c r="D117" s="2"/>
      <c r="E117" s="2"/>
    </row>
    <row r="118" spans="1:5" x14ac:dyDescent="0.2">
      <c r="A118" s="7"/>
      <c r="B118" s="7"/>
      <c r="D118" s="2"/>
      <c r="E118" s="2"/>
    </row>
    <row r="119" spans="1:5" x14ac:dyDescent="0.2">
      <c r="A119" s="7"/>
      <c r="B119" s="7"/>
      <c r="D119" s="2"/>
      <c r="E119" s="2"/>
    </row>
    <row r="120" spans="1:5" x14ac:dyDescent="0.2">
      <c r="A120" s="7"/>
      <c r="B120" s="7"/>
      <c r="D120" s="2"/>
      <c r="E120" s="2"/>
    </row>
    <row r="121" spans="1:5" x14ac:dyDescent="0.2">
      <c r="A121" s="7"/>
      <c r="B121" s="7"/>
      <c r="D121" s="2"/>
      <c r="E121" s="2"/>
    </row>
    <row r="122" spans="1:5" x14ac:dyDescent="0.2">
      <c r="A122" s="7"/>
      <c r="B122" s="7"/>
      <c r="D122" s="2"/>
      <c r="E122" s="2"/>
    </row>
    <row r="123" spans="1:5" x14ac:dyDescent="0.2">
      <c r="A123" s="7"/>
      <c r="B123" s="7"/>
      <c r="D123" s="2"/>
      <c r="E123" s="2"/>
    </row>
    <row r="124" spans="1:5" x14ac:dyDescent="0.2">
      <c r="A124" s="7"/>
      <c r="B124" s="7"/>
      <c r="D124" s="2"/>
      <c r="E124" s="2"/>
    </row>
    <row r="125" spans="1:5" x14ac:dyDescent="0.2">
      <c r="A125" s="7"/>
      <c r="B125" s="7"/>
      <c r="D125" s="2"/>
      <c r="E125" s="2"/>
    </row>
    <row r="126" spans="1:5" x14ac:dyDescent="0.2">
      <c r="A126" s="7"/>
      <c r="B126" s="7"/>
      <c r="D126" s="2"/>
      <c r="E126" s="2"/>
    </row>
    <row r="127" spans="1:5" x14ac:dyDescent="0.2">
      <c r="A127" s="7"/>
      <c r="B127" s="7"/>
      <c r="D127" s="2"/>
      <c r="E127" s="2"/>
    </row>
    <row r="128" spans="1:5" x14ac:dyDescent="0.2">
      <c r="A128" s="7"/>
      <c r="B128" s="7"/>
      <c r="D128" s="2"/>
      <c r="E128" s="2"/>
    </row>
    <row r="129" spans="1:5" x14ac:dyDescent="0.2">
      <c r="A129" s="7"/>
      <c r="B129" s="7"/>
      <c r="D129" s="2"/>
      <c r="E129" s="2"/>
    </row>
    <row r="130" spans="1:5" x14ac:dyDescent="0.2">
      <c r="A130" s="7"/>
      <c r="B130" s="7"/>
      <c r="D130" s="2"/>
      <c r="E130" s="2"/>
    </row>
    <row r="131" spans="1:5" x14ac:dyDescent="0.2">
      <c r="A131" s="7"/>
      <c r="B131" s="7"/>
      <c r="D131" s="2"/>
      <c r="E131" s="2"/>
    </row>
    <row r="132" spans="1:5" x14ac:dyDescent="0.2">
      <c r="A132" s="7"/>
      <c r="B132" s="7"/>
      <c r="D132" s="2"/>
      <c r="E132" s="2"/>
    </row>
    <row r="133" spans="1:5" x14ac:dyDescent="0.2">
      <c r="A133" s="7"/>
      <c r="B133" s="7"/>
      <c r="D133" s="2"/>
      <c r="E133" s="2"/>
    </row>
    <row r="134" spans="1:5" x14ac:dyDescent="0.2">
      <c r="A134" s="7"/>
      <c r="B134" s="7"/>
      <c r="D134" s="2"/>
      <c r="E134" s="2"/>
    </row>
    <row r="135" spans="1:5" x14ac:dyDescent="0.2">
      <c r="A135" s="7"/>
      <c r="B135" s="7"/>
      <c r="D135" s="2"/>
      <c r="E135" s="2"/>
    </row>
    <row r="136" spans="1:5" x14ac:dyDescent="0.2">
      <c r="A136" s="7"/>
      <c r="B136" s="7"/>
      <c r="D136" s="2"/>
      <c r="E136" s="2"/>
    </row>
    <row r="137" spans="1:5" x14ac:dyDescent="0.2">
      <c r="A137" s="7"/>
      <c r="B137" s="7"/>
      <c r="D137" s="2"/>
      <c r="E137" s="2"/>
    </row>
    <row r="138" spans="1:5" x14ac:dyDescent="0.2">
      <c r="A138" s="7"/>
      <c r="B138" s="7"/>
      <c r="D138" s="2"/>
      <c r="E138" s="2"/>
    </row>
    <row r="139" spans="1:5" x14ac:dyDescent="0.2">
      <c r="A139" s="7"/>
      <c r="B139" s="7"/>
      <c r="D139" s="2"/>
      <c r="E139" s="2"/>
    </row>
    <row r="140" spans="1:5" x14ac:dyDescent="0.2">
      <c r="A140" s="7"/>
      <c r="B140" s="7"/>
      <c r="D140" s="2"/>
      <c r="E140" s="2"/>
    </row>
    <row r="141" spans="1:5" x14ac:dyDescent="0.2">
      <c r="A141" s="7"/>
      <c r="B141" s="7"/>
      <c r="D141" s="2"/>
      <c r="E141" s="2"/>
    </row>
    <row r="142" spans="1:5" x14ac:dyDescent="0.2">
      <c r="A142" s="7"/>
      <c r="B142" s="7"/>
      <c r="D142" s="2"/>
      <c r="E142" s="2"/>
    </row>
    <row r="143" spans="1:5" x14ac:dyDescent="0.2">
      <c r="A143" s="7"/>
      <c r="B143" s="7"/>
      <c r="D143" s="2"/>
      <c r="E143" s="2"/>
    </row>
    <row r="144" spans="1:5" x14ac:dyDescent="0.2">
      <c r="A144" s="7"/>
      <c r="B144" s="7"/>
      <c r="D144" s="2"/>
      <c r="E144" s="2"/>
    </row>
    <row r="145" spans="1:5" x14ac:dyDescent="0.2">
      <c r="A145" s="7"/>
      <c r="B145" s="7"/>
      <c r="D145" s="2"/>
      <c r="E145" s="2"/>
    </row>
    <row r="146" spans="1:5" x14ac:dyDescent="0.2">
      <c r="A146" s="7"/>
      <c r="B146" s="7"/>
      <c r="D146" s="2"/>
      <c r="E146" s="2"/>
    </row>
    <row r="147" spans="1:5" x14ac:dyDescent="0.2">
      <c r="A147" s="7"/>
      <c r="B147" s="7"/>
      <c r="D147" s="2"/>
      <c r="E147" s="2"/>
    </row>
    <row r="148" spans="1:5" x14ac:dyDescent="0.2">
      <c r="A148" s="7"/>
      <c r="B148" s="7"/>
      <c r="D148" s="2"/>
      <c r="E148" s="2"/>
    </row>
    <row r="149" spans="1:5" x14ac:dyDescent="0.2">
      <c r="A149" s="7"/>
      <c r="B149" s="7"/>
      <c r="D149" s="2"/>
      <c r="E149" s="2"/>
    </row>
    <row r="150" spans="1:5" x14ac:dyDescent="0.2">
      <c r="A150" s="7"/>
      <c r="B150" s="7"/>
      <c r="D150" s="2"/>
      <c r="E150" s="2"/>
    </row>
    <row r="151" spans="1:5" x14ac:dyDescent="0.2">
      <c r="A151" s="7"/>
      <c r="B151" s="7"/>
      <c r="D151" s="2"/>
      <c r="E151" s="2"/>
    </row>
    <row r="152" spans="1:5" x14ac:dyDescent="0.2">
      <c r="A152" s="7"/>
      <c r="B152" s="7"/>
      <c r="D152" s="2"/>
      <c r="E152" s="2"/>
    </row>
    <row r="153" spans="1:5" x14ac:dyDescent="0.2">
      <c r="A153" s="7"/>
      <c r="B153" s="7"/>
      <c r="D153" s="2"/>
      <c r="E153" s="2"/>
    </row>
    <row r="154" spans="1:5" x14ac:dyDescent="0.2">
      <c r="A154" s="7"/>
      <c r="B154" s="7"/>
      <c r="D154" s="2"/>
      <c r="E154" s="2"/>
    </row>
    <row r="155" spans="1:5" x14ac:dyDescent="0.2">
      <c r="A155" s="7"/>
      <c r="B155" s="7"/>
      <c r="D155" s="2"/>
      <c r="E155" s="2"/>
    </row>
    <row r="156" spans="1:5" x14ac:dyDescent="0.2">
      <c r="A156" s="7"/>
      <c r="B156" s="7"/>
      <c r="D156" s="2"/>
      <c r="E156" s="2"/>
    </row>
    <row r="157" spans="1:5" x14ac:dyDescent="0.2">
      <c r="A157" s="7"/>
      <c r="B157" s="7"/>
      <c r="D157" s="2"/>
      <c r="E157" s="2"/>
    </row>
    <row r="158" spans="1:5" x14ac:dyDescent="0.2">
      <c r="A158" s="7"/>
      <c r="B158" s="7"/>
      <c r="D158" s="2"/>
      <c r="E158" s="2"/>
    </row>
    <row r="159" spans="1:5" x14ac:dyDescent="0.2">
      <c r="A159" s="7"/>
      <c r="B159" s="7"/>
      <c r="D159" s="2"/>
      <c r="E159" s="2"/>
    </row>
    <row r="160" spans="1:5" x14ac:dyDescent="0.2">
      <c r="A160" s="7"/>
      <c r="B160" s="7"/>
      <c r="D160" s="2"/>
      <c r="E160" s="2"/>
    </row>
    <row r="161" spans="1:5" x14ac:dyDescent="0.2">
      <c r="A161" s="7"/>
      <c r="B161" s="7"/>
      <c r="D161" s="2"/>
      <c r="E161" s="2"/>
    </row>
    <row r="162" spans="1:5" x14ac:dyDescent="0.2">
      <c r="A162" s="7"/>
      <c r="B162" s="7"/>
      <c r="D162" s="2"/>
      <c r="E162" s="2"/>
    </row>
    <row r="163" spans="1:5" x14ac:dyDescent="0.2">
      <c r="A163" s="7"/>
      <c r="B163" s="7"/>
      <c r="D163" s="2"/>
      <c r="E163" s="2"/>
    </row>
    <row r="164" spans="1:5" x14ac:dyDescent="0.2">
      <c r="A164" s="7"/>
      <c r="B164" s="7"/>
      <c r="D164" s="2"/>
      <c r="E164" s="2"/>
    </row>
    <row r="165" spans="1:5" x14ac:dyDescent="0.2">
      <c r="A165" s="7"/>
      <c r="B165" s="7"/>
      <c r="D165" s="2"/>
      <c r="E165" s="2"/>
    </row>
    <row r="166" spans="1:5" x14ac:dyDescent="0.2">
      <c r="A166" s="7"/>
      <c r="B166" s="7"/>
      <c r="D166" s="2"/>
      <c r="E166" s="2"/>
    </row>
    <row r="167" spans="1:5" x14ac:dyDescent="0.2">
      <c r="A167" s="7"/>
      <c r="B167" s="7"/>
      <c r="D167" s="2"/>
      <c r="E167" s="2"/>
    </row>
    <row r="168" spans="1:5" x14ac:dyDescent="0.2">
      <c r="A168" s="7"/>
      <c r="B168" s="7"/>
      <c r="D168" s="2"/>
      <c r="E168" s="2"/>
    </row>
    <row r="169" spans="1:5" x14ac:dyDescent="0.2">
      <c r="A169" s="7"/>
      <c r="B169" s="7"/>
      <c r="D169" s="2"/>
      <c r="E169" s="2"/>
    </row>
    <row r="170" spans="1:5" x14ac:dyDescent="0.2">
      <c r="A170" s="7"/>
      <c r="B170" s="7"/>
      <c r="D170" s="2"/>
      <c r="E170" s="2"/>
    </row>
    <row r="171" spans="1:5" x14ac:dyDescent="0.2">
      <c r="A171" s="7"/>
      <c r="B171" s="7"/>
      <c r="D171" s="2"/>
      <c r="E171" s="2"/>
    </row>
    <row r="172" spans="1:5" x14ac:dyDescent="0.2">
      <c r="A172" s="7"/>
      <c r="B172" s="7"/>
      <c r="D172" s="2"/>
      <c r="E172" s="2"/>
    </row>
    <row r="173" spans="1:5" x14ac:dyDescent="0.2">
      <c r="A173" s="7"/>
      <c r="B173" s="7"/>
      <c r="D173" s="2"/>
      <c r="E173" s="2"/>
    </row>
    <row r="174" spans="1:5" x14ac:dyDescent="0.2">
      <c r="A174" s="7"/>
      <c r="B174" s="7"/>
      <c r="D174" s="2"/>
      <c r="E174" s="2"/>
    </row>
    <row r="175" spans="1:5" x14ac:dyDescent="0.2">
      <c r="A175" s="7"/>
      <c r="B175" s="7"/>
      <c r="D175" s="2"/>
      <c r="E175" s="2"/>
    </row>
    <row r="176" spans="1:5" x14ac:dyDescent="0.2">
      <c r="A176" s="7"/>
      <c r="B176" s="7"/>
      <c r="D176" s="2"/>
      <c r="E176" s="2"/>
    </row>
    <row r="177" spans="1:5" x14ac:dyDescent="0.2">
      <c r="A177" s="7"/>
      <c r="B177" s="7"/>
      <c r="D177" s="2"/>
      <c r="E177" s="2"/>
    </row>
    <row r="178" spans="1:5" x14ac:dyDescent="0.2">
      <c r="A178" s="7"/>
      <c r="B178" s="7"/>
      <c r="D178" s="2"/>
      <c r="E178" s="2"/>
    </row>
    <row r="179" spans="1:5" x14ac:dyDescent="0.2">
      <c r="A179" s="7"/>
      <c r="B179" s="7"/>
      <c r="D179" s="2"/>
      <c r="E179" s="2"/>
    </row>
    <row r="180" spans="1:5" x14ac:dyDescent="0.2">
      <c r="A180" s="7"/>
      <c r="B180" s="7"/>
      <c r="D180" s="2"/>
      <c r="E180" s="2"/>
    </row>
    <row r="181" spans="1:5" x14ac:dyDescent="0.2">
      <c r="A181" s="7"/>
      <c r="B181" s="7"/>
      <c r="D181" s="2"/>
      <c r="E181" s="2"/>
    </row>
    <row r="182" spans="1:5" x14ac:dyDescent="0.2">
      <c r="A182" s="7"/>
      <c r="B182" s="7"/>
      <c r="D182" s="2"/>
      <c r="E182" s="2"/>
    </row>
    <row r="183" spans="1:5" x14ac:dyDescent="0.2">
      <c r="D183" s="2"/>
      <c r="E183" s="2"/>
    </row>
    <row r="184" spans="1:5" x14ac:dyDescent="0.2">
      <c r="D184" s="2"/>
      <c r="E184" s="2"/>
    </row>
    <row r="185" spans="1:5" x14ac:dyDescent="0.2">
      <c r="D185" s="2"/>
      <c r="E185" s="2"/>
    </row>
    <row r="186" spans="1:5" x14ac:dyDescent="0.2">
      <c r="D186" s="2"/>
      <c r="E186" s="2"/>
    </row>
    <row r="187" spans="1:5" x14ac:dyDescent="0.2">
      <c r="D187" s="2"/>
      <c r="E187" s="2"/>
    </row>
    <row r="188" spans="1:5" x14ac:dyDescent="0.2">
      <c r="D188" s="2"/>
      <c r="E188" s="2"/>
    </row>
    <row r="189" spans="1:5" x14ac:dyDescent="0.2">
      <c r="D189" s="2"/>
      <c r="E189" s="2"/>
    </row>
    <row r="190" spans="1:5" x14ac:dyDescent="0.2">
      <c r="D190" s="2"/>
      <c r="E190" s="2"/>
    </row>
    <row r="191" spans="1:5" x14ac:dyDescent="0.2">
      <c r="D191" s="2"/>
      <c r="E191" s="2"/>
    </row>
    <row r="192" spans="1:5" x14ac:dyDescent="0.2">
      <c r="D192" s="2"/>
      <c r="E192" s="2"/>
    </row>
    <row r="193" spans="4:5" x14ac:dyDescent="0.2">
      <c r="D193" s="2"/>
      <c r="E193" s="2"/>
    </row>
    <row r="194" spans="4:5" x14ac:dyDescent="0.2">
      <c r="D194" s="2"/>
      <c r="E194" s="2"/>
    </row>
    <row r="195" spans="4:5" x14ac:dyDescent="0.2">
      <c r="D195" s="2"/>
      <c r="E195" s="2"/>
    </row>
    <row r="196" spans="4:5" x14ac:dyDescent="0.2">
      <c r="D196" s="2"/>
      <c r="E196" s="2"/>
    </row>
    <row r="197" spans="4:5" x14ac:dyDescent="0.2">
      <c r="D197" s="2"/>
      <c r="E197" s="2"/>
    </row>
    <row r="198" spans="4:5" x14ac:dyDescent="0.2">
      <c r="D198" s="2"/>
      <c r="E198" s="2"/>
    </row>
    <row r="199" spans="4:5" x14ac:dyDescent="0.2">
      <c r="D199" s="2"/>
      <c r="E199" s="2"/>
    </row>
    <row r="200" spans="4:5" x14ac:dyDescent="0.2">
      <c r="D200" s="2"/>
      <c r="E200" s="2"/>
    </row>
    <row r="201" spans="4:5" x14ac:dyDescent="0.2">
      <c r="D201" s="2"/>
      <c r="E201" s="2"/>
    </row>
    <row r="202" spans="4:5" x14ac:dyDescent="0.2">
      <c r="D202" s="2"/>
      <c r="E202" s="2"/>
    </row>
    <row r="203" spans="4:5" x14ac:dyDescent="0.2">
      <c r="D203" s="2"/>
      <c r="E203" s="2"/>
    </row>
    <row r="204" spans="4:5" x14ac:dyDescent="0.2">
      <c r="D204" s="2"/>
      <c r="E204" s="2"/>
    </row>
    <row r="205" spans="4:5" x14ac:dyDescent="0.2">
      <c r="D205" s="2"/>
      <c r="E205" s="2"/>
    </row>
    <row r="206" spans="4:5" x14ac:dyDescent="0.2">
      <c r="D206" s="2"/>
      <c r="E206" s="2"/>
    </row>
    <row r="207" spans="4:5" x14ac:dyDescent="0.2">
      <c r="D207" s="2"/>
      <c r="E207" s="2"/>
    </row>
    <row r="208" spans="4:5" x14ac:dyDescent="0.2">
      <c r="D208" s="2"/>
      <c r="E208" s="2"/>
    </row>
    <row r="209" spans="4:5" x14ac:dyDescent="0.2">
      <c r="D209" s="2"/>
      <c r="E209" s="2"/>
    </row>
    <row r="210" spans="4:5" x14ac:dyDescent="0.2">
      <c r="D210" s="2"/>
      <c r="E210" s="2"/>
    </row>
    <row r="211" spans="4:5" x14ac:dyDescent="0.2">
      <c r="D211" s="2"/>
      <c r="E211" s="2"/>
    </row>
    <row r="212" spans="4:5" x14ac:dyDescent="0.2">
      <c r="D212" s="2"/>
      <c r="E212" s="2"/>
    </row>
    <row r="213" spans="4:5" x14ac:dyDescent="0.2">
      <c r="D213" s="2"/>
      <c r="E213" s="2"/>
    </row>
    <row r="214" spans="4:5" x14ac:dyDescent="0.2">
      <c r="D214" s="2"/>
      <c r="E214" s="2"/>
    </row>
    <row r="215" spans="4:5" x14ac:dyDescent="0.2">
      <c r="D215" s="2"/>
      <c r="E215" s="2"/>
    </row>
    <row r="216" spans="4:5" x14ac:dyDescent="0.2">
      <c r="D216" s="2"/>
      <c r="E216" s="2"/>
    </row>
    <row r="217" spans="4:5" x14ac:dyDescent="0.2">
      <c r="D217" s="2"/>
      <c r="E217" s="2"/>
    </row>
    <row r="218" spans="4:5" x14ac:dyDescent="0.2">
      <c r="D218" s="2"/>
      <c r="E218" s="2"/>
    </row>
    <row r="219" spans="4:5" x14ac:dyDescent="0.2">
      <c r="D219" s="2"/>
      <c r="E219" s="2"/>
    </row>
    <row r="220" spans="4:5" x14ac:dyDescent="0.2">
      <c r="D220" s="2"/>
      <c r="E220" s="2"/>
    </row>
    <row r="221" spans="4:5" x14ac:dyDescent="0.2">
      <c r="D221" s="2"/>
      <c r="E221" s="2"/>
    </row>
    <row r="222" spans="4:5" x14ac:dyDescent="0.2">
      <c r="D222" s="2"/>
      <c r="E222" s="2"/>
    </row>
    <row r="223" spans="4:5" x14ac:dyDescent="0.2">
      <c r="D223" s="2"/>
      <c r="E223" s="2"/>
    </row>
    <row r="224" spans="4:5" x14ac:dyDescent="0.2">
      <c r="D224" s="2"/>
      <c r="E224" s="2"/>
    </row>
    <row r="225" spans="4:5" x14ac:dyDescent="0.2">
      <c r="D225" s="2"/>
      <c r="E225" s="2"/>
    </row>
    <row r="226" spans="4:5" x14ac:dyDescent="0.2">
      <c r="D226" s="2"/>
      <c r="E226" s="2"/>
    </row>
    <row r="227" spans="4:5" x14ac:dyDescent="0.2">
      <c r="D227" s="2"/>
      <c r="E227" s="2"/>
    </row>
    <row r="228" spans="4:5" x14ac:dyDescent="0.2">
      <c r="D228" s="2"/>
      <c r="E228" s="2"/>
    </row>
    <row r="229" spans="4:5" x14ac:dyDescent="0.2">
      <c r="D229" s="2"/>
      <c r="E229" s="2"/>
    </row>
    <row r="230" spans="4:5" x14ac:dyDescent="0.2">
      <c r="D230" s="2"/>
      <c r="E230" s="2"/>
    </row>
    <row r="231" spans="4:5" x14ac:dyDescent="0.2">
      <c r="D231" s="2"/>
      <c r="E231" s="2"/>
    </row>
    <row r="232" spans="4:5" x14ac:dyDescent="0.2">
      <c r="D232" s="2"/>
      <c r="E232" s="2"/>
    </row>
    <row r="233" spans="4:5" x14ac:dyDescent="0.2">
      <c r="D233" s="2"/>
      <c r="E233" s="2"/>
    </row>
    <row r="234" spans="4:5" x14ac:dyDescent="0.2">
      <c r="D234" s="2"/>
      <c r="E234" s="2"/>
    </row>
    <row r="235" spans="4:5" x14ac:dyDescent="0.2">
      <c r="D235" s="2"/>
      <c r="E235" s="2"/>
    </row>
    <row r="236" spans="4:5" x14ac:dyDescent="0.2">
      <c r="D236" s="2"/>
      <c r="E236" s="2"/>
    </row>
    <row r="237" spans="4:5" x14ac:dyDescent="0.2">
      <c r="D237" s="2"/>
      <c r="E237" s="2"/>
    </row>
    <row r="238" spans="4:5" x14ac:dyDescent="0.2">
      <c r="D238" s="2"/>
      <c r="E238" s="2"/>
    </row>
    <row r="239" spans="4:5" x14ac:dyDescent="0.2">
      <c r="D239" s="2"/>
      <c r="E239" s="2"/>
    </row>
    <row r="240" spans="4:5" x14ac:dyDescent="0.2">
      <c r="D240" s="2"/>
      <c r="E240" s="2"/>
    </row>
    <row r="241" spans="4:5" x14ac:dyDescent="0.2">
      <c r="D241" s="2"/>
      <c r="E241" s="2"/>
    </row>
    <row r="242" spans="4:5" x14ac:dyDescent="0.2">
      <c r="D242" s="2"/>
      <c r="E242" s="2"/>
    </row>
    <row r="243" spans="4:5" x14ac:dyDescent="0.2">
      <c r="D243" s="2"/>
      <c r="E243" s="2"/>
    </row>
    <row r="244" spans="4:5" x14ac:dyDescent="0.2">
      <c r="D244" s="2"/>
      <c r="E244" s="2"/>
    </row>
    <row r="245" spans="4:5" x14ac:dyDescent="0.2">
      <c r="D245" s="2"/>
      <c r="E245" s="2"/>
    </row>
    <row r="246" spans="4:5" x14ac:dyDescent="0.2">
      <c r="D246" s="2"/>
      <c r="E246" s="2"/>
    </row>
    <row r="247" spans="4:5" x14ac:dyDescent="0.2">
      <c r="D247" s="2"/>
      <c r="E247" s="2"/>
    </row>
    <row r="248" spans="4:5" x14ac:dyDescent="0.2">
      <c r="D248" s="2"/>
      <c r="E248" s="2"/>
    </row>
    <row r="249" spans="4:5" x14ac:dyDescent="0.2">
      <c r="D249" s="2"/>
      <c r="E249" s="2"/>
    </row>
    <row r="250" spans="4:5" x14ac:dyDescent="0.2">
      <c r="D250" s="2"/>
      <c r="E250" s="2"/>
    </row>
    <row r="251" spans="4:5" x14ac:dyDescent="0.2">
      <c r="D251" s="2"/>
      <c r="E251" s="2"/>
    </row>
    <row r="252" spans="4:5" x14ac:dyDescent="0.2">
      <c r="D252" s="2"/>
      <c r="E252" s="2"/>
    </row>
    <row r="253" spans="4:5" x14ac:dyDescent="0.2">
      <c r="D253" s="2"/>
      <c r="E253" s="2"/>
    </row>
    <row r="254" spans="4:5" x14ac:dyDescent="0.2">
      <c r="D254" s="2"/>
      <c r="E254" s="2"/>
    </row>
    <row r="255" spans="4:5" x14ac:dyDescent="0.2">
      <c r="D255" s="2"/>
      <c r="E255" s="2"/>
    </row>
    <row r="256" spans="4:5" x14ac:dyDescent="0.2">
      <c r="D256" s="2"/>
      <c r="E256" s="2"/>
    </row>
    <row r="257" spans="4:5" x14ac:dyDescent="0.2">
      <c r="D257" s="2"/>
      <c r="E257" s="2"/>
    </row>
    <row r="258" spans="4:5" x14ac:dyDescent="0.2">
      <c r="D258" s="2"/>
      <c r="E258" s="2"/>
    </row>
    <row r="259" spans="4:5" x14ac:dyDescent="0.2">
      <c r="D259" s="2"/>
      <c r="E259" s="2"/>
    </row>
    <row r="260" spans="4:5" x14ac:dyDescent="0.2">
      <c r="D260" s="2"/>
      <c r="E260" s="2"/>
    </row>
    <row r="261" spans="4:5" x14ac:dyDescent="0.2">
      <c r="D261" s="2"/>
      <c r="E261" s="2"/>
    </row>
    <row r="262" spans="4:5" x14ac:dyDescent="0.2">
      <c r="D262" s="2"/>
      <c r="E262" s="2"/>
    </row>
    <row r="263" spans="4:5" x14ac:dyDescent="0.2">
      <c r="D263" s="2"/>
      <c r="E263" s="2"/>
    </row>
    <row r="264" spans="4:5" x14ac:dyDescent="0.2">
      <c r="D264" s="2"/>
      <c r="E264" s="2"/>
    </row>
    <row r="265" spans="4:5" x14ac:dyDescent="0.2">
      <c r="D265" s="2"/>
      <c r="E265" s="2"/>
    </row>
    <row r="266" spans="4:5" x14ac:dyDescent="0.2">
      <c r="D266" s="2"/>
      <c r="E266" s="2"/>
    </row>
    <row r="267" spans="4:5" x14ac:dyDescent="0.2">
      <c r="D267" s="2"/>
      <c r="E267" s="2"/>
    </row>
    <row r="268" spans="4:5" x14ac:dyDescent="0.2">
      <c r="D268" s="2"/>
      <c r="E268" s="2"/>
    </row>
    <row r="269" spans="4:5" x14ac:dyDescent="0.2">
      <c r="D269" s="2"/>
      <c r="E269" s="2"/>
    </row>
    <row r="270" spans="4:5" x14ac:dyDescent="0.2">
      <c r="D270" s="2"/>
      <c r="E270" s="2"/>
    </row>
    <row r="271" spans="4:5" x14ac:dyDescent="0.2">
      <c r="D271" s="2"/>
      <c r="E271" s="2"/>
    </row>
    <row r="272" spans="4:5" x14ac:dyDescent="0.2">
      <c r="D272" s="2"/>
      <c r="E272" s="2"/>
    </row>
    <row r="273" spans="4:5" x14ac:dyDescent="0.2">
      <c r="D273" s="2"/>
      <c r="E273" s="2"/>
    </row>
    <row r="274" spans="4:5" x14ac:dyDescent="0.2">
      <c r="D274" s="2"/>
      <c r="E274" s="2"/>
    </row>
    <row r="275" spans="4:5" x14ac:dyDescent="0.2">
      <c r="D275" s="2"/>
      <c r="E275" s="2"/>
    </row>
    <row r="276" spans="4:5" x14ac:dyDescent="0.2">
      <c r="D276" s="2"/>
      <c r="E276" s="2"/>
    </row>
    <row r="277" spans="4:5" x14ac:dyDescent="0.2">
      <c r="D277" s="2"/>
      <c r="E277" s="2"/>
    </row>
    <row r="278" spans="4:5" x14ac:dyDescent="0.2">
      <c r="D278" s="2"/>
      <c r="E278" s="2"/>
    </row>
    <row r="279" spans="4:5" x14ac:dyDescent="0.2">
      <c r="D279" s="2"/>
      <c r="E279" s="2"/>
    </row>
    <row r="280" spans="4:5" x14ac:dyDescent="0.2">
      <c r="D280" s="2"/>
      <c r="E280" s="2"/>
    </row>
    <row r="281" spans="4:5" x14ac:dyDescent="0.2">
      <c r="D281" s="2"/>
      <c r="E281" s="2"/>
    </row>
    <row r="282" spans="4:5" x14ac:dyDescent="0.2">
      <c r="D282" s="2"/>
      <c r="E282" s="2"/>
    </row>
    <row r="283" spans="4:5" x14ac:dyDescent="0.2">
      <c r="D283" s="2"/>
      <c r="E283" s="2"/>
    </row>
    <row r="284" spans="4:5" x14ac:dyDescent="0.2">
      <c r="D284" s="2"/>
      <c r="E284" s="2"/>
    </row>
    <row r="285" spans="4:5" x14ac:dyDescent="0.2">
      <c r="D285" s="2"/>
      <c r="E285" s="2"/>
    </row>
    <row r="286" spans="4:5" x14ac:dyDescent="0.2">
      <c r="D286" s="2"/>
      <c r="E286" s="2"/>
    </row>
    <row r="287" spans="4:5" x14ac:dyDescent="0.2">
      <c r="D287" s="2"/>
      <c r="E287" s="2"/>
    </row>
    <row r="288" spans="4:5" x14ac:dyDescent="0.2">
      <c r="D288" s="2"/>
      <c r="E288" s="2"/>
    </row>
    <row r="289" spans="4:5" x14ac:dyDescent="0.2">
      <c r="D289" s="2"/>
      <c r="E289" s="2"/>
    </row>
    <row r="290" spans="4:5" x14ac:dyDescent="0.2">
      <c r="D290" s="2"/>
      <c r="E290" s="2"/>
    </row>
    <row r="291" spans="4:5" x14ac:dyDescent="0.2">
      <c r="D291" s="2"/>
      <c r="E291" s="2"/>
    </row>
    <row r="292" spans="4:5" x14ac:dyDescent="0.2">
      <c r="D292" s="2"/>
      <c r="E292" s="2"/>
    </row>
    <row r="293" spans="4:5" x14ac:dyDescent="0.2">
      <c r="D293" s="2"/>
      <c r="E293" s="2"/>
    </row>
    <row r="294" spans="4:5" x14ac:dyDescent="0.2">
      <c r="D294" s="2"/>
      <c r="E294" s="2"/>
    </row>
    <row r="295" spans="4:5" x14ac:dyDescent="0.2">
      <c r="D295" s="2"/>
      <c r="E295" s="2"/>
    </row>
    <row r="296" spans="4:5" x14ac:dyDescent="0.2">
      <c r="D296" s="2"/>
      <c r="E296" s="2"/>
    </row>
    <row r="297" spans="4:5" x14ac:dyDescent="0.2">
      <c r="D297" s="2"/>
      <c r="E297" s="2"/>
    </row>
    <row r="298" spans="4:5" x14ac:dyDescent="0.2">
      <c r="D298" s="2"/>
      <c r="E298" s="2"/>
    </row>
    <row r="299" spans="4:5" x14ac:dyDescent="0.2">
      <c r="D299" s="2"/>
      <c r="E299" s="2"/>
    </row>
    <row r="300" spans="4:5" x14ac:dyDescent="0.2">
      <c r="D300" s="2"/>
      <c r="E300" s="2"/>
    </row>
    <row r="301" spans="4:5" x14ac:dyDescent="0.2">
      <c r="D301" s="2"/>
      <c r="E301" s="2"/>
    </row>
    <row r="302" spans="4:5" x14ac:dyDescent="0.2">
      <c r="D302" s="2"/>
      <c r="E302" s="2"/>
    </row>
    <row r="303" spans="4:5" x14ac:dyDescent="0.2">
      <c r="D303" s="2"/>
      <c r="E303" s="2"/>
    </row>
    <row r="304" spans="4:5" x14ac:dyDescent="0.2">
      <c r="D304" s="2"/>
      <c r="E304" s="2"/>
    </row>
    <row r="305" spans="4:5" x14ac:dyDescent="0.2">
      <c r="D305" s="2"/>
      <c r="E305" s="2"/>
    </row>
    <row r="306" spans="4:5" x14ac:dyDescent="0.2">
      <c r="D306" s="2"/>
      <c r="E306" s="2"/>
    </row>
    <row r="307" spans="4:5" x14ac:dyDescent="0.2">
      <c r="D307" s="2"/>
      <c r="E307" s="2"/>
    </row>
    <row r="308" spans="4:5" x14ac:dyDescent="0.2">
      <c r="D308" s="2"/>
      <c r="E308" s="2"/>
    </row>
    <row r="309" spans="4:5" x14ac:dyDescent="0.2">
      <c r="D309" s="2"/>
      <c r="E309" s="2"/>
    </row>
    <row r="310" spans="4:5" x14ac:dyDescent="0.2">
      <c r="D310" s="2"/>
      <c r="E310" s="2"/>
    </row>
    <row r="311" spans="4:5" x14ac:dyDescent="0.2">
      <c r="D311" s="2"/>
      <c r="E311" s="2"/>
    </row>
    <row r="312" spans="4:5" x14ac:dyDescent="0.2">
      <c r="D312" s="2"/>
      <c r="E312" s="2"/>
    </row>
    <row r="313" spans="4:5" x14ac:dyDescent="0.2">
      <c r="D313" s="2"/>
      <c r="E313" s="2"/>
    </row>
    <row r="314" spans="4:5" x14ac:dyDescent="0.2">
      <c r="D314" s="2"/>
      <c r="E314" s="2"/>
    </row>
    <row r="315" spans="4:5" x14ac:dyDescent="0.2">
      <c r="D315" s="2"/>
      <c r="E315" s="2"/>
    </row>
    <row r="316" spans="4:5" x14ac:dyDescent="0.2">
      <c r="D316" s="2"/>
      <c r="E316" s="2"/>
    </row>
    <row r="317" spans="4:5" x14ac:dyDescent="0.2">
      <c r="D317" s="2"/>
      <c r="E317" s="2"/>
    </row>
    <row r="318" spans="4:5" x14ac:dyDescent="0.2">
      <c r="D318" s="2"/>
      <c r="E318" s="2"/>
    </row>
    <row r="319" spans="4:5" x14ac:dyDescent="0.2">
      <c r="D319" s="2"/>
      <c r="E319" s="2"/>
    </row>
    <row r="320" spans="4:5" x14ac:dyDescent="0.2">
      <c r="D320" s="2"/>
      <c r="E320" s="2"/>
    </row>
    <row r="321" spans="4:5" x14ac:dyDescent="0.2">
      <c r="D321" s="2"/>
      <c r="E321" s="2"/>
    </row>
    <row r="322" spans="4:5" x14ac:dyDescent="0.2">
      <c r="D322" s="2"/>
      <c r="E322" s="2"/>
    </row>
    <row r="323" spans="4:5" x14ac:dyDescent="0.2">
      <c r="D323" s="2"/>
      <c r="E323" s="2"/>
    </row>
    <row r="324" spans="4:5" x14ac:dyDescent="0.2">
      <c r="D324" s="2"/>
      <c r="E324" s="2"/>
    </row>
    <row r="325" spans="4:5" x14ac:dyDescent="0.2">
      <c r="D325" s="2"/>
      <c r="E325" s="2"/>
    </row>
    <row r="326" spans="4:5" x14ac:dyDescent="0.2">
      <c r="D326" s="2"/>
      <c r="E326" s="2"/>
    </row>
    <row r="327" spans="4:5" x14ac:dyDescent="0.2">
      <c r="D327" s="2"/>
      <c r="E327" s="2"/>
    </row>
    <row r="328" spans="4:5" x14ac:dyDescent="0.2">
      <c r="D328" s="2"/>
      <c r="E328" s="2"/>
    </row>
    <row r="329" spans="4:5" x14ac:dyDescent="0.2">
      <c r="D329" s="2"/>
      <c r="E329" s="2"/>
    </row>
    <row r="330" spans="4:5" x14ac:dyDescent="0.2">
      <c r="D330" s="2"/>
      <c r="E330" s="2"/>
    </row>
    <row r="331" spans="4:5" x14ac:dyDescent="0.2">
      <c r="D331" s="2"/>
      <c r="E331" s="2"/>
    </row>
    <row r="332" spans="4:5" x14ac:dyDescent="0.2">
      <c r="D332" s="2"/>
      <c r="E332" s="2"/>
    </row>
    <row r="333" spans="4:5" x14ac:dyDescent="0.2">
      <c r="D333" s="2"/>
      <c r="E333" s="2"/>
    </row>
    <row r="334" spans="4:5" x14ac:dyDescent="0.2">
      <c r="D334" s="2"/>
      <c r="E334" s="2"/>
    </row>
    <row r="335" spans="4:5" x14ac:dyDescent="0.2">
      <c r="D335" s="2"/>
      <c r="E335" s="2"/>
    </row>
    <row r="336" spans="4:5" x14ac:dyDescent="0.2">
      <c r="D336" s="2"/>
      <c r="E336" s="2"/>
    </row>
    <row r="337" spans="4:5" x14ac:dyDescent="0.2">
      <c r="D337" s="2"/>
      <c r="E337" s="2"/>
    </row>
    <row r="338" spans="4:5" x14ac:dyDescent="0.2">
      <c r="D338" s="2"/>
      <c r="E338" s="2"/>
    </row>
    <row r="339" spans="4:5" x14ac:dyDescent="0.2">
      <c r="D339" s="2"/>
      <c r="E339" s="2"/>
    </row>
    <row r="340" spans="4:5" x14ac:dyDescent="0.2">
      <c r="D340" s="2"/>
      <c r="E340" s="2"/>
    </row>
    <row r="341" spans="4:5" x14ac:dyDescent="0.2">
      <c r="D341" s="2"/>
      <c r="E341" s="2"/>
    </row>
    <row r="342" spans="4:5" x14ac:dyDescent="0.2">
      <c r="D342" s="2"/>
      <c r="E342" s="2"/>
    </row>
    <row r="343" spans="4:5" x14ac:dyDescent="0.2">
      <c r="D343" s="2"/>
      <c r="E343" s="2"/>
    </row>
    <row r="344" spans="4:5" x14ac:dyDescent="0.2">
      <c r="D344" s="2"/>
      <c r="E344" s="2"/>
    </row>
    <row r="345" spans="4:5" x14ac:dyDescent="0.2">
      <c r="D345" s="2"/>
      <c r="E345" s="2"/>
    </row>
    <row r="346" spans="4:5" x14ac:dyDescent="0.2">
      <c r="D346" s="2"/>
      <c r="E346" s="2"/>
    </row>
    <row r="347" spans="4:5" x14ac:dyDescent="0.2">
      <c r="D347" s="2"/>
      <c r="E347" s="2"/>
    </row>
    <row r="348" spans="4:5" x14ac:dyDescent="0.2">
      <c r="D348" s="2"/>
      <c r="E348" s="2"/>
    </row>
    <row r="349" spans="4:5" x14ac:dyDescent="0.2">
      <c r="D349" s="2"/>
      <c r="E349" s="2"/>
    </row>
    <row r="350" spans="4:5" x14ac:dyDescent="0.2">
      <c r="D350" s="2"/>
      <c r="E350" s="2"/>
    </row>
    <row r="351" spans="4:5" x14ac:dyDescent="0.2">
      <c r="D351" s="2"/>
      <c r="E351" s="2"/>
    </row>
    <row r="352" spans="4:5" x14ac:dyDescent="0.2">
      <c r="D352" s="2"/>
      <c r="E352" s="2"/>
    </row>
    <row r="353" spans="4:5" x14ac:dyDescent="0.2">
      <c r="D353" s="2"/>
      <c r="E353" s="2"/>
    </row>
    <row r="354" spans="4:5" x14ac:dyDescent="0.2">
      <c r="D354" s="2"/>
      <c r="E354" s="2"/>
    </row>
    <row r="355" spans="4:5" x14ac:dyDescent="0.2">
      <c r="D355" s="2"/>
      <c r="E355" s="2"/>
    </row>
    <row r="356" spans="4:5" x14ac:dyDescent="0.2">
      <c r="D356" s="2"/>
      <c r="E356" s="2"/>
    </row>
    <row r="357" spans="4:5" x14ac:dyDescent="0.2">
      <c r="D357" s="2"/>
      <c r="E357" s="2"/>
    </row>
    <row r="358" spans="4:5" x14ac:dyDescent="0.2">
      <c r="D358" s="2"/>
      <c r="E358" s="2"/>
    </row>
    <row r="359" spans="4:5" x14ac:dyDescent="0.2">
      <c r="D359" s="2"/>
      <c r="E359" s="2"/>
    </row>
    <row r="360" spans="4:5" x14ac:dyDescent="0.2">
      <c r="D360" s="2"/>
      <c r="E360" s="2"/>
    </row>
    <row r="361" spans="4:5" x14ac:dyDescent="0.2">
      <c r="D361" s="2"/>
      <c r="E361" s="2"/>
    </row>
    <row r="362" spans="4:5" x14ac:dyDescent="0.2">
      <c r="D362" s="2"/>
      <c r="E362" s="2"/>
    </row>
    <row r="363" spans="4:5" x14ac:dyDescent="0.2">
      <c r="D363" s="2"/>
      <c r="E363" s="2"/>
    </row>
    <row r="364" spans="4:5" x14ac:dyDescent="0.2">
      <c r="D364" s="2"/>
      <c r="E364" s="2"/>
    </row>
    <row r="365" spans="4:5" x14ac:dyDescent="0.2">
      <c r="D365" s="2"/>
      <c r="E365" s="2"/>
    </row>
    <row r="366" spans="4:5" x14ac:dyDescent="0.2">
      <c r="D366" s="2"/>
      <c r="E366" s="2"/>
    </row>
    <row r="367" spans="4:5" x14ac:dyDescent="0.2">
      <c r="D367" s="2"/>
      <c r="E367" s="2"/>
    </row>
    <row r="368" spans="4:5" x14ac:dyDescent="0.2">
      <c r="D368" s="2"/>
      <c r="E368" s="2"/>
    </row>
    <row r="369" spans="4:5" x14ac:dyDescent="0.2">
      <c r="D369" s="2"/>
      <c r="E369" s="2"/>
    </row>
    <row r="370" spans="4:5" x14ac:dyDescent="0.2">
      <c r="D370" s="2"/>
      <c r="E370" s="2"/>
    </row>
    <row r="371" spans="4:5" x14ac:dyDescent="0.2">
      <c r="D371" s="2"/>
      <c r="E371" s="2"/>
    </row>
    <row r="372" spans="4:5" x14ac:dyDescent="0.2">
      <c r="D372" s="2"/>
      <c r="E372" s="2"/>
    </row>
    <row r="373" spans="4:5" x14ac:dyDescent="0.2">
      <c r="D373" s="2"/>
      <c r="E373" s="2"/>
    </row>
    <row r="374" spans="4:5" x14ac:dyDescent="0.2">
      <c r="D374" s="2"/>
      <c r="E374" s="2"/>
    </row>
    <row r="375" spans="4:5" x14ac:dyDescent="0.2">
      <c r="D375" s="2"/>
      <c r="E375" s="2"/>
    </row>
    <row r="376" spans="4:5" x14ac:dyDescent="0.2">
      <c r="D376" s="2"/>
      <c r="E376" s="2"/>
    </row>
    <row r="377" spans="4:5" x14ac:dyDescent="0.2">
      <c r="D377" s="2"/>
      <c r="E377" s="2"/>
    </row>
    <row r="378" spans="4:5" x14ac:dyDescent="0.2">
      <c r="D378" s="2"/>
      <c r="E378" s="2"/>
    </row>
    <row r="379" spans="4:5" x14ac:dyDescent="0.2">
      <c r="D379" s="2"/>
      <c r="E379" s="2"/>
    </row>
    <row r="380" spans="4:5" x14ac:dyDescent="0.2">
      <c r="D380" s="2"/>
      <c r="E380" s="2"/>
    </row>
    <row r="381" spans="4:5" x14ac:dyDescent="0.2">
      <c r="D381" s="2"/>
      <c r="E381" s="2"/>
    </row>
    <row r="382" spans="4:5" x14ac:dyDescent="0.2">
      <c r="D382" s="2"/>
      <c r="E382" s="2"/>
    </row>
    <row r="383" spans="4:5" x14ac:dyDescent="0.2">
      <c r="D383" s="2"/>
      <c r="E383" s="2"/>
    </row>
    <row r="384" spans="4:5" x14ac:dyDescent="0.2">
      <c r="D384" s="2"/>
      <c r="E384" s="2"/>
    </row>
    <row r="385" spans="4:5" x14ac:dyDescent="0.2">
      <c r="D385" s="2"/>
      <c r="E385" s="2"/>
    </row>
    <row r="386" spans="4:5" x14ac:dyDescent="0.2">
      <c r="D386" s="2"/>
      <c r="E386" s="2"/>
    </row>
    <row r="387" spans="4:5" x14ac:dyDescent="0.2">
      <c r="D387" s="2"/>
      <c r="E387" s="2"/>
    </row>
    <row r="388" spans="4:5" x14ac:dyDescent="0.2">
      <c r="D388" s="2"/>
      <c r="E388" s="2"/>
    </row>
    <row r="389" spans="4:5" x14ac:dyDescent="0.2">
      <c r="D389" s="2"/>
      <c r="E389" s="2"/>
    </row>
    <row r="390" spans="4:5" x14ac:dyDescent="0.2">
      <c r="D390" s="2"/>
      <c r="E390" s="2"/>
    </row>
    <row r="391" spans="4:5" x14ac:dyDescent="0.2">
      <c r="D391" s="2"/>
      <c r="E391" s="2"/>
    </row>
    <row r="392" spans="4:5" x14ac:dyDescent="0.2">
      <c r="D392" s="2"/>
      <c r="E392" s="2"/>
    </row>
    <row r="393" spans="4:5" x14ac:dyDescent="0.2">
      <c r="D393" s="2"/>
      <c r="E393" s="2"/>
    </row>
    <row r="394" spans="4:5" x14ac:dyDescent="0.2">
      <c r="D394" s="2"/>
      <c r="E394" s="2"/>
    </row>
    <row r="395" spans="4:5" x14ac:dyDescent="0.2">
      <c r="D395" s="2"/>
      <c r="E395" s="2"/>
    </row>
    <row r="396" spans="4:5" x14ac:dyDescent="0.2">
      <c r="D396" s="2"/>
      <c r="E396" s="2"/>
    </row>
    <row r="397" spans="4:5" x14ac:dyDescent="0.2">
      <c r="D397" s="2"/>
      <c r="E397" s="2"/>
    </row>
    <row r="398" spans="4:5" x14ac:dyDescent="0.2">
      <c r="D398" s="2"/>
      <c r="E398" s="2"/>
    </row>
    <row r="399" spans="4:5" x14ac:dyDescent="0.2">
      <c r="D399" s="2"/>
      <c r="E399" s="2"/>
    </row>
    <row r="400" spans="4:5" x14ac:dyDescent="0.2">
      <c r="D400" s="2"/>
      <c r="E400" s="2"/>
    </row>
    <row r="401" spans="4:5" x14ac:dyDescent="0.2">
      <c r="D401" s="2"/>
      <c r="E401" s="2"/>
    </row>
    <row r="402" spans="4:5" x14ac:dyDescent="0.2">
      <c r="D402" s="2"/>
      <c r="E402" s="2"/>
    </row>
    <row r="403" spans="4:5" x14ac:dyDescent="0.2">
      <c r="D403" s="2"/>
      <c r="E403" s="2"/>
    </row>
    <row r="404" spans="4:5" x14ac:dyDescent="0.2">
      <c r="D404" s="2"/>
      <c r="E404" s="2"/>
    </row>
    <row r="405" spans="4:5" x14ac:dyDescent="0.2">
      <c r="D405" s="2"/>
      <c r="E405" s="2"/>
    </row>
    <row r="406" spans="4:5" x14ac:dyDescent="0.2">
      <c r="D406" s="2"/>
      <c r="E406" s="2"/>
    </row>
    <row r="407" spans="4:5" x14ac:dyDescent="0.2">
      <c r="D407" s="2"/>
      <c r="E407" s="2"/>
    </row>
    <row r="408" spans="4:5" x14ac:dyDescent="0.2">
      <c r="D408" s="2"/>
      <c r="E408" s="2"/>
    </row>
    <row r="409" spans="4:5" x14ac:dyDescent="0.2">
      <c r="D409" s="2"/>
      <c r="E409" s="2"/>
    </row>
    <row r="410" spans="4:5" x14ac:dyDescent="0.2">
      <c r="D410" s="2"/>
      <c r="E410" s="2"/>
    </row>
    <row r="411" spans="4:5" x14ac:dyDescent="0.2">
      <c r="D411" s="2"/>
      <c r="E411" s="2"/>
    </row>
    <row r="412" spans="4:5" x14ac:dyDescent="0.2">
      <c r="D412" s="2"/>
      <c r="E412" s="2"/>
    </row>
    <row r="413" spans="4:5" x14ac:dyDescent="0.2">
      <c r="D413" s="2"/>
      <c r="E413" s="2"/>
    </row>
    <row r="414" spans="4:5" x14ac:dyDescent="0.2">
      <c r="D414" s="2"/>
      <c r="E414" s="2"/>
    </row>
    <row r="415" spans="4:5" x14ac:dyDescent="0.2">
      <c r="D415" s="2"/>
      <c r="E415" s="2"/>
    </row>
    <row r="416" spans="4:5" x14ac:dyDescent="0.2">
      <c r="D416" s="2"/>
      <c r="E416" s="2"/>
    </row>
    <row r="417" spans="4:5" x14ac:dyDescent="0.2">
      <c r="D417" s="2"/>
      <c r="E417" s="2"/>
    </row>
    <row r="418" spans="4:5" x14ac:dyDescent="0.2">
      <c r="D418" s="2"/>
      <c r="E418" s="2"/>
    </row>
    <row r="419" spans="4:5" x14ac:dyDescent="0.2">
      <c r="D419" s="2"/>
      <c r="E419" s="2"/>
    </row>
    <row r="420" spans="4:5" x14ac:dyDescent="0.2">
      <c r="D420" s="2"/>
      <c r="E420" s="2"/>
    </row>
    <row r="421" spans="4:5" x14ac:dyDescent="0.2">
      <c r="D421" s="2"/>
      <c r="E421" s="2"/>
    </row>
    <row r="422" spans="4:5" x14ac:dyDescent="0.2">
      <c r="D422" s="2"/>
      <c r="E422" s="2"/>
    </row>
    <row r="423" spans="4:5" x14ac:dyDescent="0.2">
      <c r="D423" s="2"/>
      <c r="E423" s="2"/>
    </row>
    <row r="424" spans="4:5" x14ac:dyDescent="0.2">
      <c r="D424" s="2"/>
      <c r="E424" s="2"/>
    </row>
    <row r="425" spans="4:5" x14ac:dyDescent="0.2">
      <c r="D425" s="2"/>
      <c r="E425" s="2"/>
    </row>
    <row r="426" spans="4:5" x14ac:dyDescent="0.2">
      <c r="D426" s="2"/>
      <c r="E426" s="2"/>
    </row>
    <row r="427" spans="4:5" x14ac:dyDescent="0.2">
      <c r="D427" s="2"/>
      <c r="E427" s="2"/>
    </row>
    <row r="428" spans="4:5" x14ac:dyDescent="0.2">
      <c r="D428" s="2"/>
      <c r="E428" s="2"/>
    </row>
    <row r="429" spans="4:5" x14ac:dyDescent="0.2">
      <c r="D429" s="2"/>
      <c r="E429" s="2"/>
    </row>
    <row r="430" spans="4:5" x14ac:dyDescent="0.2">
      <c r="D430" s="2"/>
      <c r="E430" s="2"/>
    </row>
    <row r="431" spans="4:5" x14ac:dyDescent="0.2">
      <c r="D431" s="2"/>
      <c r="E431" s="2"/>
    </row>
    <row r="432" spans="4:5" x14ac:dyDescent="0.2">
      <c r="D432" s="2"/>
      <c r="E432" s="2"/>
    </row>
    <row r="433" spans="4:5" x14ac:dyDescent="0.2">
      <c r="D433" s="2"/>
      <c r="E433" s="2"/>
    </row>
    <row r="434" spans="4:5" x14ac:dyDescent="0.2">
      <c r="D434" s="2"/>
      <c r="E434" s="2"/>
    </row>
    <row r="435" spans="4:5" x14ac:dyDescent="0.2">
      <c r="D435" s="2"/>
      <c r="E435" s="2"/>
    </row>
    <row r="436" spans="4:5" x14ac:dyDescent="0.2">
      <c r="D436" s="2"/>
      <c r="E436" s="2"/>
    </row>
    <row r="437" spans="4:5" x14ac:dyDescent="0.2">
      <c r="D437" s="2"/>
      <c r="E437" s="2"/>
    </row>
    <row r="438" spans="4:5" x14ac:dyDescent="0.2">
      <c r="D438" s="2"/>
      <c r="E438" s="2"/>
    </row>
    <row r="439" spans="4:5" x14ac:dyDescent="0.2">
      <c r="D439" s="2"/>
      <c r="E439" s="2"/>
    </row>
    <row r="440" spans="4:5" x14ac:dyDescent="0.2">
      <c r="D440" s="2"/>
      <c r="E440" s="2"/>
    </row>
    <row r="441" spans="4:5" x14ac:dyDescent="0.2">
      <c r="D441" s="2"/>
      <c r="E441" s="2"/>
    </row>
    <row r="442" spans="4:5" x14ac:dyDescent="0.2">
      <c r="D442" s="2"/>
      <c r="E442" s="2"/>
    </row>
    <row r="443" spans="4:5" x14ac:dyDescent="0.2">
      <c r="D443" s="2"/>
      <c r="E443" s="2"/>
    </row>
    <row r="444" spans="4:5" x14ac:dyDescent="0.2">
      <c r="D444" s="2"/>
      <c r="E444" s="2"/>
    </row>
    <row r="445" spans="4:5" x14ac:dyDescent="0.2">
      <c r="D445" s="2"/>
      <c r="E445" s="2"/>
    </row>
    <row r="446" spans="4:5" x14ac:dyDescent="0.2">
      <c r="D446" s="2"/>
      <c r="E446" s="2"/>
    </row>
    <row r="447" spans="4:5" x14ac:dyDescent="0.2">
      <c r="D447" s="2"/>
      <c r="E447" s="2"/>
    </row>
    <row r="448" spans="4:5" x14ac:dyDescent="0.2">
      <c r="D448" s="2"/>
      <c r="E448" s="2"/>
    </row>
    <row r="449" spans="4:5" x14ac:dyDescent="0.2">
      <c r="D449" s="2"/>
      <c r="E449" s="2"/>
    </row>
    <row r="450" spans="4:5" x14ac:dyDescent="0.2">
      <c r="D450" s="2"/>
      <c r="E450" s="2"/>
    </row>
  </sheetData>
  <mergeCells count="21">
    <mergeCell ref="A1:E1"/>
    <mergeCell ref="A2:E2"/>
    <mergeCell ref="A9:B9"/>
    <mergeCell ref="A13:B13"/>
    <mergeCell ref="A16:B16"/>
    <mergeCell ref="J2:K2"/>
    <mergeCell ref="M2:N2"/>
    <mergeCell ref="A72:B72"/>
    <mergeCell ref="A76:B76"/>
    <mergeCell ref="A83:B83"/>
    <mergeCell ref="G2:H2"/>
    <mergeCell ref="A43:B43"/>
    <mergeCell ref="A50:B50"/>
    <mergeCell ref="A54:B54"/>
    <mergeCell ref="A58:B58"/>
    <mergeCell ref="A65:B65"/>
    <mergeCell ref="A20:B20"/>
    <mergeCell ref="A27:B27"/>
    <mergeCell ref="A31:B31"/>
    <mergeCell ref="A35:B35"/>
    <mergeCell ref="A39:B39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User</dc:creator>
  <cp:lastModifiedBy>Microsoft Office User</cp:lastModifiedBy>
  <cp:lastPrinted>2012-05-04T03:01:11Z</cp:lastPrinted>
  <dcterms:created xsi:type="dcterms:W3CDTF">2012-05-04T01:08:31Z</dcterms:created>
  <dcterms:modified xsi:type="dcterms:W3CDTF">2020-10-14T17:20:20Z</dcterms:modified>
</cp:coreProperties>
</file>
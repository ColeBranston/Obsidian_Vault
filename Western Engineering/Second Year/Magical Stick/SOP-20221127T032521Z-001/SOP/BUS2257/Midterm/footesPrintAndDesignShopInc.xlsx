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A9B35BBF-E2B9-7547-BEEE-F3F886E737A4}" xr6:coauthVersionLast="45" xr6:coauthVersionMax="45" xr10:uidLastSave="{00000000-0000-0000-0000-000000000000}"/>
  <bookViews>
    <workbookView xWindow="-15920" yWindow="-20080" windowWidth="28800" windowHeight="16060" xr2:uid="{00000000-000D-0000-FFFF-FFFF00000000}"/>
  </bookViews>
  <sheets>
    <sheet name="General Ledger" sheetId="2" r:id="rId1"/>
    <sheet name="T-Accoun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  <c r="A6" i="1" l="1"/>
  <c r="F54" i="2" l="1"/>
  <c r="F59" i="2" s="1"/>
  <c r="F55" i="2"/>
  <c r="F56" i="2"/>
  <c r="F57" i="2"/>
  <c r="F58" i="2"/>
  <c r="E6" i="2"/>
  <c r="O23" i="1"/>
  <c r="O24" i="1"/>
  <c r="D45" i="2"/>
  <c r="G15" i="1" s="1"/>
  <c r="Q23" i="1"/>
  <c r="Q24" i="1" s="1"/>
  <c r="T23" i="1"/>
  <c r="T24" i="1"/>
  <c r="T25" i="1"/>
  <c r="G4" i="1"/>
  <c r="D20" i="2"/>
  <c r="E21" i="2"/>
  <c r="H5" i="1" s="1"/>
  <c r="H7" i="1" s="1"/>
  <c r="G6" i="1"/>
  <c r="H15" i="1"/>
  <c r="N29" i="1" s="1"/>
  <c r="H4" i="1"/>
  <c r="G5" i="1"/>
  <c r="H6" i="1"/>
  <c r="J4" i="1"/>
  <c r="A4" i="1"/>
  <c r="A5" i="1"/>
  <c r="E9" i="2"/>
  <c r="K5" i="1"/>
  <c r="K6" i="1"/>
  <c r="E17" i="2"/>
  <c r="K7" i="1" s="1"/>
  <c r="J8" i="1"/>
  <c r="K9" i="1"/>
  <c r="E29" i="2"/>
  <c r="K10" i="1" s="1"/>
  <c r="E34" i="2"/>
  <c r="K11" i="1"/>
  <c r="O3" i="1"/>
  <c r="O4" i="1" s="1"/>
  <c r="D3" i="1"/>
  <c r="D4" i="1"/>
  <c r="B65" i="2"/>
  <c r="E23" i="1"/>
  <c r="D59" i="2"/>
  <c r="N3" i="1"/>
  <c r="U24" i="1"/>
  <c r="J11" i="1"/>
  <c r="J10" i="1"/>
  <c r="E3" i="1"/>
  <c r="J9" i="1"/>
  <c r="B5" i="1"/>
  <c r="K8" i="1"/>
  <c r="J7" i="1"/>
  <c r="J6" i="1"/>
  <c r="J5" i="1"/>
  <c r="K4" i="1"/>
  <c r="U23" i="1"/>
  <c r="R23" i="1"/>
  <c r="N23" i="1"/>
  <c r="B4" i="1"/>
  <c r="J12" i="1" l="1"/>
  <c r="K13" i="1" s="1"/>
  <c r="O29" i="1"/>
  <c r="O30" i="1" s="1"/>
  <c r="X23" i="1" s="1"/>
  <c r="G16" i="1"/>
  <c r="H9" i="1"/>
  <c r="D50" i="2"/>
  <c r="E51" i="2" s="1"/>
  <c r="E46" i="2"/>
  <c r="E42" i="2" l="1"/>
  <c r="D41" i="2"/>
  <c r="A7" i="1"/>
  <c r="H8" i="1"/>
  <c r="D23" i="1" s="1"/>
  <c r="D24" i="1" s="1"/>
  <c r="W24" i="1" s="1"/>
  <c r="X25" i="1" s="1"/>
  <c r="W26" i="1" l="1"/>
  <c r="X27" i="1"/>
</calcChain>
</file>

<file path=xl/sharedStrings.xml><?xml version="1.0" encoding="utf-8"?>
<sst xmlns="http://schemas.openxmlformats.org/spreadsheetml/2006/main" count="92" uniqueCount="57">
  <si>
    <t>ASSETS</t>
  </si>
  <si>
    <t>LIABILITIES &amp; OWNER'S EQUITY</t>
  </si>
  <si>
    <t>EXPENSES</t>
  </si>
  <si>
    <t>REVENUES</t>
  </si>
  <si>
    <t>General Ledger</t>
  </si>
  <si>
    <t>Foot's Print and Design Shop Inc.</t>
  </si>
  <si>
    <t>[1]</t>
  </si>
  <si>
    <t>Cash</t>
  </si>
  <si>
    <t>Accounts Receivable</t>
  </si>
  <si>
    <t>Sales</t>
  </si>
  <si>
    <t>A/R</t>
  </si>
  <si>
    <t>[2]</t>
  </si>
  <si>
    <t>Sales Discounts</t>
  </si>
  <si>
    <t>[3]</t>
  </si>
  <si>
    <t>Sales Returns &amp; Allowances</t>
  </si>
  <si>
    <t>Sales R&amp;A</t>
  </si>
  <si>
    <t>[4]</t>
  </si>
  <si>
    <t>Allowance for Doubtful Accounts</t>
  </si>
  <si>
    <t>O/B</t>
  </si>
  <si>
    <t>[5]</t>
  </si>
  <si>
    <t>870*30%=261</t>
  </si>
  <si>
    <t>[6]</t>
  </si>
  <si>
    <t>[7]</t>
  </si>
  <si>
    <t>Notes Receivable</t>
  </si>
  <si>
    <t>***9% per annum</t>
  </si>
  <si>
    <t>Notes Rec.</t>
  </si>
  <si>
    <t>[8]</t>
  </si>
  <si>
    <t>[9]</t>
  </si>
  <si>
    <t>Unearned Revenue</t>
  </si>
  <si>
    <t>[10]</t>
  </si>
  <si>
    <t>E/B</t>
  </si>
  <si>
    <t>T/B</t>
  </si>
  <si>
    <t>Plug</t>
  </si>
  <si>
    <t>56,728 (T/B) - 27,335 (E/B) = 29,393 (plug)</t>
  </si>
  <si>
    <t>Bad Debts Expense</t>
  </si>
  <si>
    <t>Aging Schedule</t>
  </si>
  <si>
    <t>Not Yet Due</t>
  </si>
  <si>
    <t>1-30 days</t>
  </si>
  <si>
    <t>31-60 days</t>
  </si>
  <si>
    <t>61-90 days</t>
  </si>
  <si>
    <t>Over 90 days</t>
  </si>
  <si>
    <t>Amount</t>
  </si>
  <si>
    <t>%</t>
  </si>
  <si>
    <t>$ Uncollectable</t>
  </si>
  <si>
    <t>Totals</t>
  </si>
  <si>
    <t>1431 (E/B) - 321 (T/B) = 1110 (plug)</t>
  </si>
  <si>
    <t>Net Realizable Value of Accounts Receivable</t>
  </si>
  <si>
    <t>27,335 (E/B in A/R) - 1431 (E/B in AFDA)</t>
  </si>
  <si>
    <t>plug [10]</t>
  </si>
  <si>
    <t>September 30, 2003</t>
  </si>
  <si>
    <t>[11]</t>
  </si>
  <si>
    <t>Interest Receivable</t>
  </si>
  <si>
    <t>Interest Revenue</t>
  </si>
  <si>
    <t>667*9%*(2/12)=10</t>
  </si>
  <si>
    <t>[12]</t>
  </si>
  <si>
    <t xml:space="preserve">AFDA </t>
  </si>
  <si>
    <t>NRV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</si>
</sst>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-1009]mmmm\ d\,\ 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1" fontId="0" fillId="0" borderId="0" xfId="0" applyNumberFormat="1"/>
    <xf numFmtId="1" fontId="0" fillId="0" borderId="0" xfId="0" applyNumberFormat="1" applyBorder="1"/>
    <xf numFmtId="0" fontId="0" fillId="0" borderId="6" xfId="0" applyBorder="1" applyAlignment="1"/>
    <xf numFmtId="0" fontId="0" fillId="0" borderId="0" xfId="0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4" xfId="0" applyNumberFormat="1" applyBorder="1"/>
    <xf numFmtId="0" fontId="0" fillId="0" borderId="13" xfId="0" applyBorder="1"/>
    <xf numFmtId="0" fontId="0" fillId="0" borderId="14" xfId="0" applyBorder="1"/>
    <xf numFmtId="1" fontId="0" fillId="0" borderId="14" xfId="0" applyNumberFormat="1" applyBorder="1"/>
    <xf numFmtId="0" fontId="0" fillId="0" borderId="15" xfId="0" applyBorder="1"/>
    <xf numFmtId="1" fontId="0" fillId="0" borderId="5" xfId="0" applyNumberFormat="1" applyBorder="1"/>
    <xf numFmtId="0" fontId="0" fillId="0" borderId="14" xfId="0" applyBorder="1" applyAlignment="1"/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3" xfId="1" applyNumberFormat="1" applyFont="1" applyBorder="1"/>
    <xf numFmtId="0" fontId="0" fillId="0" borderId="0" xfId="0" applyAlignment="1">
      <alignment horizontal="left" indent="1"/>
    </xf>
    <xf numFmtId="166" fontId="0" fillId="0" borderId="0" xfId="0" applyNumberFormat="1"/>
    <xf numFmtId="166" fontId="0" fillId="0" borderId="0" xfId="0" applyNumberFormat="1" applyAlignment="1">
      <alignment horizontal="left" indent="1"/>
    </xf>
    <xf numFmtId="0" fontId="0" fillId="0" borderId="17" xfId="0" applyBorder="1"/>
    <xf numFmtId="166" fontId="0" fillId="0" borderId="0" xfId="0" applyNumberFormat="1" applyAlignment="1"/>
    <xf numFmtId="0" fontId="0" fillId="0" borderId="18" xfId="0" applyBorder="1"/>
    <xf numFmtId="0" fontId="0" fillId="0" borderId="7" xfId="0" applyBorder="1"/>
    <xf numFmtId="0" fontId="0" fillId="0" borderId="15" xfId="0" applyBorder="1" applyAlignment="1"/>
    <xf numFmtId="165" fontId="0" fillId="0" borderId="0" xfId="1" applyNumberFormat="1" applyFont="1" applyAlignment="1">
      <alignment horizontal="center"/>
    </xf>
    <xf numFmtId="9" fontId="0" fillId="0" borderId="0" xfId="2" applyFont="1"/>
    <xf numFmtId="165" fontId="0" fillId="0" borderId="0" xfId="0" applyNumberFormat="1"/>
    <xf numFmtId="164" fontId="0" fillId="0" borderId="0" xfId="0" applyNumberFormat="1"/>
    <xf numFmtId="164" fontId="0" fillId="0" borderId="3" xfId="0" applyNumberFormat="1" applyBorder="1"/>
    <xf numFmtId="0" fontId="0" fillId="0" borderId="7" xfId="0" applyBorder="1" applyAlignment="1"/>
    <xf numFmtId="1" fontId="0" fillId="0" borderId="15" xfId="0" applyNumberFormat="1" applyBorder="1"/>
    <xf numFmtId="1" fontId="0" fillId="0" borderId="14" xfId="0" applyNumberFormat="1" applyBorder="1" applyAlignment="1"/>
    <xf numFmtId="3" fontId="0" fillId="0" borderId="0" xfId="0" applyNumberFormat="1" applyAlignment="1">
      <alignment horizontal="left"/>
    </xf>
    <xf numFmtId="0" fontId="0" fillId="0" borderId="19" xfId="0" applyBorder="1"/>
    <xf numFmtId="1" fontId="0" fillId="0" borderId="19" xfId="0" applyNumberFormat="1" applyBorder="1"/>
    <xf numFmtId="166" fontId="0" fillId="0" borderId="0" xfId="0" applyNumberFormat="1" applyAlignment="1">
      <alignment horizontal="left"/>
    </xf>
    <xf numFmtId="0" fontId="0" fillId="0" borderId="20" xfId="0" applyBorder="1"/>
    <xf numFmtId="1" fontId="0" fillId="0" borderId="20" xfId="0" applyNumberFormat="1" applyBorder="1"/>
    <xf numFmtId="0" fontId="0" fillId="2" borderId="7" xfId="0" applyFill="1" applyBorder="1"/>
    <xf numFmtId="0" fontId="0" fillId="2" borderId="14" xfId="0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zoomScale="150" zoomScaleNormal="150" zoomScalePageLayoutView="150" workbookViewId="0">
      <selection activeCell="K59" sqref="K59"/>
    </sheetView>
  </sheetViews>
  <sheetFormatPr baseColWidth="10" defaultColWidth="8.83203125" defaultRowHeight="15" x14ac:dyDescent="0.2"/>
  <cols>
    <col min="1" max="1" width="4.5" customWidth="1"/>
    <col min="2" max="2" width="36.5" customWidth="1"/>
    <col min="3" max="3" width="2.1640625" customWidth="1"/>
    <col min="4" max="5" width="10.5" bestFit="1" customWidth="1"/>
    <col min="6" max="6" width="13.83203125" customWidth="1"/>
  </cols>
  <sheetData>
    <row r="1" spans="1:5" x14ac:dyDescent="0.2">
      <c r="A1" s="52" t="s">
        <v>5</v>
      </c>
      <c r="B1" s="52"/>
      <c r="C1" s="52"/>
      <c r="D1" s="52"/>
      <c r="E1" s="52"/>
    </row>
    <row r="2" spans="1:5" ht="16" thickBot="1" x14ac:dyDescent="0.25">
      <c r="A2" s="53" t="s">
        <v>4</v>
      </c>
      <c r="B2" s="53"/>
      <c r="C2" s="53"/>
      <c r="D2" s="53"/>
      <c r="E2" s="53"/>
    </row>
    <row r="4" spans="1:5" x14ac:dyDescent="0.2">
      <c r="A4" t="s">
        <v>6</v>
      </c>
      <c r="B4" t="s">
        <v>7</v>
      </c>
      <c r="D4" s="26">
        <v>17836</v>
      </c>
      <c r="E4" s="26"/>
    </row>
    <row r="5" spans="1:5" x14ac:dyDescent="0.2">
      <c r="B5" t="s">
        <v>8</v>
      </c>
      <c r="D5" s="26">
        <v>30910</v>
      </c>
      <c r="E5" s="26"/>
    </row>
    <row r="6" spans="1:5" x14ac:dyDescent="0.2">
      <c r="B6" s="28" t="s">
        <v>9</v>
      </c>
      <c r="D6" s="26"/>
      <c r="E6" s="26">
        <f>D5+D4</f>
        <v>48746</v>
      </c>
    </row>
    <row r="7" spans="1:5" x14ac:dyDescent="0.2">
      <c r="D7" s="26"/>
      <c r="E7" s="26"/>
    </row>
    <row r="8" spans="1:5" x14ac:dyDescent="0.2">
      <c r="A8" t="s">
        <v>11</v>
      </c>
      <c r="B8" t="s">
        <v>12</v>
      </c>
      <c r="D8" s="26">
        <v>835</v>
      </c>
      <c r="E8" s="26"/>
    </row>
    <row r="9" spans="1:5" x14ac:dyDescent="0.2">
      <c r="B9" s="28" t="s">
        <v>8</v>
      </c>
      <c r="D9" s="26"/>
      <c r="E9" s="26">
        <f>D8</f>
        <v>835</v>
      </c>
    </row>
    <row r="10" spans="1:5" x14ac:dyDescent="0.2">
      <c r="D10" s="26"/>
      <c r="E10" s="26"/>
    </row>
    <row r="11" spans="1:5" x14ac:dyDescent="0.2">
      <c r="A11" s="54">
        <v>37715</v>
      </c>
      <c r="B11" s="54"/>
      <c r="D11" s="26"/>
      <c r="E11" s="26"/>
    </row>
    <row r="12" spans="1:5" x14ac:dyDescent="0.2">
      <c r="A12" s="29" t="s">
        <v>13</v>
      </c>
      <c r="B12" s="29" t="s">
        <v>14</v>
      </c>
      <c r="D12" s="26">
        <v>25</v>
      </c>
      <c r="E12" s="26"/>
    </row>
    <row r="13" spans="1:5" x14ac:dyDescent="0.2">
      <c r="A13" s="29"/>
      <c r="B13" s="30" t="s">
        <v>8</v>
      </c>
      <c r="D13" s="26"/>
      <c r="E13" s="26">
        <v>25</v>
      </c>
    </row>
    <row r="14" spans="1:5" x14ac:dyDescent="0.2">
      <c r="A14" s="29"/>
      <c r="B14" s="29"/>
      <c r="D14" s="26"/>
      <c r="E14" s="26"/>
    </row>
    <row r="15" spans="1:5" x14ac:dyDescent="0.2">
      <c r="A15" s="54">
        <v>37765</v>
      </c>
      <c r="B15" s="54"/>
      <c r="D15" s="26"/>
      <c r="E15" s="26"/>
    </row>
    <row r="16" spans="1:5" x14ac:dyDescent="0.2">
      <c r="A16" s="29" t="s">
        <v>16</v>
      </c>
      <c r="B16" s="29" t="s">
        <v>17</v>
      </c>
      <c r="D16" s="26">
        <v>304</v>
      </c>
      <c r="E16" s="26"/>
    </row>
    <row r="17" spans="1:5" x14ac:dyDescent="0.2">
      <c r="A17" s="29"/>
      <c r="B17" s="30" t="s">
        <v>8</v>
      </c>
      <c r="D17" s="26"/>
      <c r="E17" s="26">
        <f>D16</f>
        <v>304</v>
      </c>
    </row>
    <row r="18" spans="1:5" x14ac:dyDescent="0.2">
      <c r="A18" s="29"/>
      <c r="B18" s="29"/>
      <c r="D18" s="26"/>
      <c r="E18" s="26"/>
    </row>
    <row r="19" spans="1:5" x14ac:dyDescent="0.2">
      <c r="A19" s="54">
        <v>37784</v>
      </c>
      <c r="B19" s="54"/>
      <c r="D19" s="26"/>
      <c r="E19" s="26"/>
    </row>
    <row r="20" spans="1:5" x14ac:dyDescent="0.2">
      <c r="A20" s="29" t="s">
        <v>19</v>
      </c>
      <c r="B20" s="29" t="s">
        <v>8</v>
      </c>
      <c r="D20" s="26">
        <f>870*0.3</f>
        <v>261</v>
      </c>
      <c r="E20" s="26"/>
    </row>
    <row r="21" spans="1:5" x14ac:dyDescent="0.2">
      <c r="A21" s="29"/>
      <c r="B21" s="30" t="s">
        <v>17</v>
      </c>
      <c r="D21" s="26"/>
      <c r="E21" s="26">
        <f>D20</f>
        <v>261</v>
      </c>
    </row>
    <row r="22" spans="1:5" x14ac:dyDescent="0.2">
      <c r="A22" s="29"/>
      <c r="B22" s="29" t="s">
        <v>20</v>
      </c>
      <c r="D22" s="26"/>
      <c r="E22" s="26"/>
    </row>
    <row r="23" spans="1:5" x14ac:dyDescent="0.2">
      <c r="A23" s="29"/>
      <c r="B23" s="29"/>
      <c r="D23" s="26"/>
      <c r="E23" s="26"/>
    </row>
    <row r="24" spans="1:5" x14ac:dyDescent="0.2">
      <c r="A24" s="29" t="s">
        <v>21</v>
      </c>
      <c r="B24" s="29" t="s">
        <v>7</v>
      </c>
      <c r="D24" s="26">
        <v>261</v>
      </c>
      <c r="E24" s="26"/>
    </row>
    <row r="25" spans="1:5" x14ac:dyDescent="0.2">
      <c r="A25" s="29"/>
      <c r="B25" s="30" t="s">
        <v>8</v>
      </c>
      <c r="D25" s="26"/>
      <c r="E25" s="26">
        <v>261</v>
      </c>
    </row>
    <row r="26" spans="1:5" x14ac:dyDescent="0.2">
      <c r="A26" s="29"/>
      <c r="B26" s="29"/>
      <c r="D26" s="26"/>
      <c r="E26" s="26"/>
    </row>
    <row r="27" spans="1:5" x14ac:dyDescent="0.2">
      <c r="A27" s="54">
        <v>37833</v>
      </c>
      <c r="B27" s="54"/>
      <c r="D27" s="26"/>
      <c r="E27" s="26"/>
    </row>
    <row r="28" spans="1:5" x14ac:dyDescent="0.2">
      <c r="A28" s="29" t="s">
        <v>22</v>
      </c>
      <c r="B28" s="29" t="s">
        <v>23</v>
      </c>
      <c r="D28" s="26">
        <v>667</v>
      </c>
      <c r="E28" s="26"/>
    </row>
    <row r="29" spans="1:5" x14ac:dyDescent="0.2">
      <c r="A29" s="29"/>
      <c r="B29" s="30" t="s">
        <v>8</v>
      </c>
      <c r="D29" s="26"/>
      <c r="E29" s="26">
        <f>D28</f>
        <v>667</v>
      </c>
    </row>
    <row r="30" spans="1:5" x14ac:dyDescent="0.2">
      <c r="A30" s="29"/>
      <c r="B30" s="29" t="s">
        <v>24</v>
      </c>
      <c r="D30" s="26"/>
      <c r="E30" s="26"/>
    </row>
    <row r="31" spans="1:5" x14ac:dyDescent="0.2">
      <c r="A31" s="29"/>
      <c r="B31" s="29"/>
      <c r="D31" s="26"/>
      <c r="E31" s="26"/>
    </row>
    <row r="32" spans="1:5" x14ac:dyDescent="0.2">
      <c r="A32" s="54">
        <v>37837</v>
      </c>
      <c r="B32" s="54"/>
      <c r="D32" s="26"/>
      <c r="E32" s="26"/>
    </row>
    <row r="33" spans="1:5" x14ac:dyDescent="0.2">
      <c r="A33" s="29" t="s">
        <v>26</v>
      </c>
      <c r="B33" s="29" t="s">
        <v>17</v>
      </c>
      <c r="D33" s="26">
        <v>2036</v>
      </c>
      <c r="E33" s="26"/>
    </row>
    <row r="34" spans="1:5" x14ac:dyDescent="0.2">
      <c r="A34" s="29"/>
      <c r="B34" s="30" t="s">
        <v>8</v>
      </c>
      <c r="D34" s="26"/>
      <c r="E34" s="26">
        <f>D33</f>
        <v>2036</v>
      </c>
    </row>
    <row r="35" spans="1:5" x14ac:dyDescent="0.2">
      <c r="A35" s="29"/>
      <c r="B35" s="29"/>
      <c r="D35" s="26"/>
      <c r="E35" s="26"/>
    </row>
    <row r="36" spans="1:5" x14ac:dyDescent="0.2">
      <c r="A36" s="54">
        <v>37889</v>
      </c>
      <c r="B36" s="54"/>
      <c r="D36" s="26"/>
      <c r="E36" s="26"/>
    </row>
    <row r="37" spans="1:5" x14ac:dyDescent="0.2">
      <c r="A37" s="29" t="s">
        <v>27</v>
      </c>
      <c r="B37" s="29" t="s">
        <v>14</v>
      </c>
      <c r="D37" s="26">
        <v>215</v>
      </c>
      <c r="E37" s="26"/>
    </row>
    <row r="38" spans="1:5" x14ac:dyDescent="0.2">
      <c r="A38" s="29"/>
      <c r="B38" s="30" t="s">
        <v>28</v>
      </c>
      <c r="D38" s="26"/>
      <c r="E38" s="26">
        <v>215</v>
      </c>
    </row>
    <row r="39" spans="1:5" x14ac:dyDescent="0.2">
      <c r="A39" s="29"/>
      <c r="B39" s="29"/>
      <c r="D39" s="26"/>
      <c r="E39" s="26"/>
    </row>
    <row r="40" spans="1:5" x14ac:dyDescent="0.2">
      <c r="A40" s="54" t="s">
        <v>49</v>
      </c>
      <c r="B40" s="54"/>
      <c r="D40" s="26"/>
      <c r="E40" s="26"/>
    </row>
    <row r="41" spans="1:5" x14ac:dyDescent="0.2">
      <c r="A41" s="29" t="s">
        <v>29</v>
      </c>
      <c r="B41" s="29" t="s">
        <v>7</v>
      </c>
      <c r="D41" s="26">
        <f>'T-Accounts'!K13</f>
        <v>29393</v>
      </c>
      <c r="E41" s="26"/>
    </row>
    <row r="42" spans="1:5" x14ac:dyDescent="0.2">
      <c r="A42" s="29"/>
      <c r="B42" s="30" t="s">
        <v>8</v>
      </c>
      <c r="D42" s="26"/>
      <c r="E42" s="26">
        <f>'T-Accounts'!K13</f>
        <v>29393</v>
      </c>
    </row>
    <row r="43" spans="1:5" x14ac:dyDescent="0.2">
      <c r="A43" s="29"/>
      <c r="B43" s="29" t="s">
        <v>33</v>
      </c>
      <c r="D43" s="26"/>
      <c r="E43" s="26"/>
    </row>
    <row r="44" spans="1:5" x14ac:dyDescent="0.2">
      <c r="A44" s="29"/>
      <c r="B44" s="29"/>
      <c r="D44" s="26"/>
      <c r="E44" s="26"/>
    </row>
    <row r="45" spans="1:5" x14ac:dyDescent="0.2">
      <c r="A45" s="32" t="s">
        <v>50</v>
      </c>
      <c r="B45" s="32" t="s">
        <v>51</v>
      </c>
      <c r="D45" s="26">
        <f>667*9%*2/12</f>
        <v>10.005000000000001</v>
      </c>
      <c r="E45" s="26"/>
    </row>
    <row r="46" spans="1:5" x14ac:dyDescent="0.2">
      <c r="A46" s="29"/>
      <c r="B46" s="30" t="s">
        <v>52</v>
      </c>
      <c r="D46" s="26"/>
      <c r="E46" s="26">
        <f>D45</f>
        <v>10.005000000000001</v>
      </c>
    </row>
    <row r="47" spans="1:5" x14ac:dyDescent="0.2">
      <c r="A47" s="29"/>
      <c r="B47" s="47" t="s">
        <v>53</v>
      </c>
      <c r="D47" s="26"/>
      <c r="E47" s="26"/>
    </row>
    <row r="48" spans="1:5" x14ac:dyDescent="0.2">
      <c r="A48" s="29"/>
      <c r="B48" s="29"/>
      <c r="D48" s="26"/>
      <c r="E48" s="26"/>
    </row>
    <row r="49" spans="1:6" x14ac:dyDescent="0.2">
      <c r="A49" s="29"/>
      <c r="B49" s="29"/>
      <c r="D49" s="26"/>
      <c r="E49" s="26"/>
    </row>
    <row r="50" spans="1:6" x14ac:dyDescent="0.2">
      <c r="A50" s="29" t="s">
        <v>54</v>
      </c>
      <c r="B50" s="29" t="s">
        <v>34</v>
      </c>
      <c r="D50" s="26">
        <f>F59-321</f>
        <v>1109.8499999999999</v>
      </c>
      <c r="E50" s="26"/>
    </row>
    <row r="51" spans="1:6" x14ac:dyDescent="0.2">
      <c r="A51" s="29"/>
      <c r="B51" s="30" t="s">
        <v>17</v>
      </c>
      <c r="D51" s="26"/>
      <c r="E51" s="26">
        <f>D50</f>
        <v>1109.8499999999999</v>
      </c>
    </row>
    <row r="52" spans="1:6" x14ac:dyDescent="0.2">
      <c r="A52" s="29"/>
      <c r="B52" s="29"/>
      <c r="D52" s="26"/>
      <c r="E52" s="26"/>
    </row>
    <row r="53" spans="1:6" x14ac:dyDescent="0.2">
      <c r="A53" s="29"/>
      <c r="B53" s="29" t="s">
        <v>35</v>
      </c>
      <c r="D53" s="36" t="s">
        <v>41</v>
      </c>
      <c r="E53" s="36" t="s">
        <v>42</v>
      </c>
      <c r="F53" s="25" t="s">
        <v>43</v>
      </c>
    </row>
    <row r="54" spans="1:6" x14ac:dyDescent="0.2">
      <c r="A54" s="29"/>
      <c r="B54" s="29" t="s">
        <v>36</v>
      </c>
      <c r="D54" s="26">
        <v>16230</v>
      </c>
      <c r="E54" s="37">
        <v>0.02</v>
      </c>
      <c r="F54" s="39">
        <f>D54*E54</f>
        <v>324.60000000000002</v>
      </c>
    </row>
    <row r="55" spans="1:6" x14ac:dyDescent="0.2">
      <c r="A55" s="29"/>
      <c r="B55" s="29" t="s">
        <v>37</v>
      </c>
      <c r="D55" s="26">
        <v>7525</v>
      </c>
      <c r="E55" s="37">
        <v>0.05</v>
      </c>
      <c r="F55" s="39">
        <f t="shared" ref="F55:F58" si="0">D55*E55</f>
        <v>376.25</v>
      </c>
    </row>
    <row r="56" spans="1:6" x14ac:dyDescent="0.2">
      <c r="A56" s="29"/>
      <c r="B56" s="29" t="s">
        <v>38</v>
      </c>
      <c r="D56" s="26">
        <v>2600</v>
      </c>
      <c r="E56" s="37">
        <v>0.15</v>
      </c>
      <c r="F56" s="39">
        <f t="shared" si="0"/>
        <v>390</v>
      </c>
    </row>
    <row r="57" spans="1:6" x14ac:dyDescent="0.2">
      <c r="A57" s="29"/>
      <c r="B57" s="29" t="s">
        <v>39</v>
      </c>
      <c r="D57" s="26">
        <v>750</v>
      </c>
      <c r="E57" s="37">
        <v>0.3</v>
      </c>
      <c r="F57" s="39">
        <f t="shared" si="0"/>
        <v>225</v>
      </c>
    </row>
    <row r="58" spans="1:6" x14ac:dyDescent="0.2">
      <c r="A58" s="29"/>
      <c r="B58" s="29" t="s">
        <v>40</v>
      </c>
      <c r="D58" s="27">
        <v>230</v>
      </c>
      <c r="E58" s="37">
        <v>0.5</v>
      </c>
      <c r="F58" s="40">
        <f t="shared" si="0"/>
        <v>115</v>
      </c>
    </row>
    <row r="59" spans="1:6" x14ac:dyDescent="0.2">
      <c r="A59" s="29"/>
      <c r="B59" s="29" t="s">
        <v>44</v>
      </c>
      <c r="D59" s="26">
        <f>SUM(D54:D58)</f>
        <v>27335</v>
      </c>
      <c r="E59" s="26"/>
      <c r="F59" s="38">
        <f>SUM(F54:F58)</f>
        <v>1430.85</v>
      </c>
    </row>
    <row r="60" spans="1:6" x14ac:dyDescent="0.2">
      <c r="A60" s="29"/>
      <c r="B60" s="29"/>
      <c r="D60" s="26"/>
      <c r="E60" s="26"/>
    </row>
    <row r="61" spans="1:6" x14ac:dyDescent="0.2">
      <c r="A61" s="29"/>
      <c r="B61" s="29" t="s">
        <v>45</v>
      </c>
      <c r="D61" s="26"/>
      <c r="E61" s="26"/>
    </row>
    <row r="62" spans="1:6" x14ac:dyDescent="0.2">
      <c r="A62" s="29"/>
      <c r="B62" s="29"/>
      <c r="D62" s="26"/>
      <c r="E62" s="26"/>
    </row>
    <row r="63" spans="1:6" x14ac:dyDescent="0.2">
      <c r="A63" s="29"/>
      <c r="B63" s="32" t="s">
        <v>46</v>
      </c>
      <c r="C63" s="32"/>
      <c r="D63" s="26"/>
      <c r="E63" s="26"/>
    </row>
    <row r="64" spans="1:6" x14ac:dyDescent="0.2">
      <c r="A64" s="29"/>
      <c r="B64" s="29" t="s">
        <v>47</v>
      </c>
      <c r="D64" s="26"/>
      <c r="E64" s="26"/>
    </row>
    <row r="65" spans="1:5" x14ac:dyDescent="0.2">
      <c r="A65" s="29"/>
      <c r="B65" s="44">
        <f>27335-1431</f>
        <v>25904</v>
      </c>
      <c r="D65" s="26"/>
      <c r="E65" s="26"/>
    </row>
    <row r="66" spans="1:5" x14ac:dyDescent="0.2">
      <c r="A66" s="29"/>
      <c r="B66" s="29"/>
      <c r="D66" s="26"/>
      <c r="E66" s="26"/>
    </row>
    <row r="67" spans="1:5" x14ac:dyDescent="0.2">
      <c r="A67" s="29"/>
      <c r="B67" s="29"/>
      <c r="D67" s="26"/>
      <c r="E67" s="26"/>
    </row>
    <row r="68" spans="1:5" x14ac:dyDescent="0.2">
      <c r="A68" s="29"/>
      <c r="B68" s="29"/>
      <c r="D68" s="26"/>
      <c r="E68" s="26"/>
    </row>
    <row r="69" spans="1:5" x14ac:dyDescent="0.2">
      <c r="A69" s="29"/>
      <c r="B69" s="29"/>
      <c r="D69" s="26"/>
      <c r="E69" s="26"/>
    </row>
    <row r="70" spans="1:5" x14ac:dyDescent="0.2">
      <c r="A70" s="29"/>
      <c r="B70" s="29"/>
      <c r="D70" s="26"/>
      <c r="E70" s="26"/>
    </row>
    <row r="71" spans="1:5" x14ac:dyDescent="0.2">
      <c r="A71" s="29"/>
      <c r="B71" s="29"/>
      <c r="D71" s="26"/>
      <c r="E71" s="26"/>
    </row>
    <row r="72" spans="1:5" x14ac:dyDescent="0.2">
      <c r="A72" s="29"/>
      <c r="B72" s="29"/>
      <c r="D72" s="26"/>
      <c r="E72" s="26"/>
    </row>
    <row r="73" spans="1:5" x14ac:dyDescent="0.2">
      <c r="A73" s="29"/>
      <c r="B73" s="29"/>
      <c r="D73" s="26"/>
      <c r="E73" s="26"/>
    </row>
    <row r="74" spans="1:5" x14ac:dyDescent="0.2">
      <c r="A74" s="29"/>
      <c r="B74" s="29"/>
      <c r="D74" s="26"/>
      <c r="E74" s="26"/>
    </row>
    <row r="75" spans="1:5" x14ac:dyDescent="0.2">
      <c r="A75" s="29"/>
      <c r="B75" s="29"/>
      <c r="D75" s="26"/>
      <c r="E75" s="26"/>
    </row>
    <row r="76" spans="1:5" x14ac:dyDescent="0.2">
      <c r="A76" s="29"/>
      <c r="B76" s="29"/>
      <c r="D76" s="26"/>
      <c r="E76" s="26"/>
    </row>
    <row r="77" spans="1:5" x14ac:dyDescent="0.2">
      <c r="A77" s="29"/>
      <c r="B77" s="29"/>
      <c r="D77" s="26"/>
      <c r="E77" s="26"/>
    </row>
    <row r="78" spans="1:5" x14ac:dyDescent="0.2">
      <c r="A78" s="29"/>
      <c r="B78" s="29"/>
      <c r="D78" s="26"/>
      <c r="E78" s="26"/>
    </row>
    <row r="79" spans="1:5" x14ac:dyDescent="0.2">
      <c r="A79" s="29"/>
      <c r="B79" s="29"/>
      <c r="D79" s="26"/>
      <c r="E79" s="26"/>
    </row>
    <row r="80" spans="1:5" x14ac:dyDescent="0.2">
      <c r="A80" s="29"/>
      <c r="B80" s="29"/>
      <c r="D80" s="26"/>
      <c r="E80" s="26"/>
    </row>
    <row r="81" spans="1:5" x14ac:dyDescent="0.2">
      <c r="A81" s="29"/>
      <c r="B81" s="29"/>
      <c r="D81" s="26"/>
      <c r="E81" s="26"/>
    </row>
    <row r="82" spans="1:5" x14ac:dyDescent="0.2">
      <c r="A82" s="29"/>
      <c r="B82" s="29"/>
      <c r="D82" s="26"/>
      <c r="E82" s="26"/>
    </row>
    <row r="83" spans="1:5" x14ac:dyDescent="0.2">
      <c r="A83" s="29"/>
      <c r="B83" s="29"/>
      <c r="D83" s="26"/>
      <c r="E83" s="26"/>
    </row>
    <row r="84" spans="1:5" x14ac:dyDescent="0.2">
      <c r="A84" s="29"/>
      <c r="B84" s="29"/>
      <c r="D84" s="26"/>
      <c r="E84" s="26"/>
    </row>
    <row r="85" spans="1:5" x14ac:dyDescent="0.2">
      <c r="A85" s="29"/>
      <c r="B85" s="29"/>
      <c r="D85" s="26"/>
      <c r="E85" s="26"/>
    </row>
    <row r="86" spans="1:5" x14ac:dyDescent="0.2">
      <c r="A86" s="29"/>
      <c r="B86" s="29"/>
      <c r="D86" s="26"/>
      <c r="E86" s="26"/>
    </row>
    <row r="87" spans="1:5" x14ac:dyDescent="0.2">
      <c r="A87" s="29"/>
      <c r="B87" s="29"/>
      <c r="D87" s="26"/>
      <c r="E87" s="26"/>
    </row>
    <row r="88" spans="1:5" x14ac:dyDescent="0.2">
      <c r="A88" s="29"/>
      <c r="B88" s="29"/>
      <c r="D88" s="26"/>
      <c r="E88" s="26"/>
    </row>
    <row r="89" spans="1:5" x14ac:dyDescent="0.2">
      <c r="A89" s="29"/>
      <c r="B89" s="29"/>
      <c r="D89" s="26"/>
      <c r="E89" s="26"/>
    </row>
    <row r="90" spans="1:5" x14ac:dyDescent="0.2">
      <c r="A90" s="29"/>
      <c r="B90" s="29"/>
      <c r="D90" s="26"/>
      <c r="E90" s="26"/>
    </row>
    <row r="91" spans="1:5" x14ac:dyDescent="0.2">
      <c r="A91" s="29"/>
      <c r="B91" s="29"/>
      <c r="D91" s="26"/>
      <c r="E91" s="26"/>
    </row>
    <row r="92" spans="1:5" x14ac:dyDescent="0.2">
      <c r="A92" s="29"/>
      <c r="B92" s="29"/>
      <c r="D92" s="26"/>
      <c r="E92" s="26"/>
    </row>
    <row r="93" spans="1:5" x14ac:dyDescent="0.2">
      <c r="A93" s="29"/>
      <c r="B93" s="29"/>
      <c r="D93" s="26"/>
      <c r="E93" s="26"/>
    </row>
    <row r="94" spans="1:5" x14ac:dyDescent="0.2">
      <c r="A94" s="29"/>
      <c r="B94" s="29"/>
      <c r="D94" s="26"/>
      <c r="E94" s="26"/>
    </row>
    <row r="95" spans="1:5" x14ac:dyDescent="0.2">
      <c r="A95" s="29"/>
      <c r="B95" s="29"/>
      <c r="D95" s="26"/>
      <c r="E95" s="26"/>
    </row>
    <row r="96" spans="1:5" x14ac:dyDescent="0.2">
      <c r="A96" s="29"/>
      <c r="B96" s="29"/>
      <c r="D96" s="26"/>
      <c r="E96" s="26"/>
    </row>
    <row r="97" spans="1:5" x14ac:dyDescent="0.2">
      <c r="A97" s="29"/>
      <c r="B97" s="29"/>
      <c r="D97" s="26"/>
      <c r="E97" s="26"/>
    </row>
    <row r="98" spans="1:5" x14ac:dyDescent="0.2">
      <c r="A98" s="29"/>
      <c r="B98" s="29"/>
      <c r="D98" s="26"/>
      <c r="E98" s="26"/>
    </row>
    <row r="99" spans="1:5" x14ac:dyDescent="0.2">
      <c r="A99" s="29"/>
      <c r="B99" s="29"/>
      <c r="D99" s="26"/>
      <c r="E99" s="26"/>
    </row>
    <row r="100" spans="1:5" x14ac:dyDescent="0.2">
      <c r="A100" s="29"/>
      <c r="B100" s="29"/>
      <c r="D100" s="26"/>
      <c r="E100" s="26"/>
    </row>
    <row r="101" spans="1:5" x14ac:dyDescent="0.2">
      <c r="A101" s="29"/>
      <c r="B101" s="29"/>
      <c r="D101" s="26"/>
      <c r="E101" s="26"/>
    </row>
    <row r="102" spans="1:5" x14ac:dyDescent="0.2">
      <c r="A102" s="29"/>
      <c r="B102" s="29"/>
      <c r="D102" s="26"/>
      <c r="E102" s="26"/>
    </row>
    <row r="103" spans="1:5" x14ac:dyDescent="0.2">
      <c r="A103" s="29"/>
      <c r="B103" s="29"/>
      <c r="D103" s="26"/>
      <c r="E103" s="26"/>
    </row>
    <row r="104" spans="1:5" x14ac:dyDescent="0.2">
      <c r="A104" s="29"/>
      <c r="B104" s="29"/>
      <c r="D104" s="26"/>
      <c r="E104" s="26"/>
    </row>
    <row r="105" spans="1:5" x14ac:dyDescent="0.2">
      <c r="A105" s="29"/>
      <c r="B105" s="29"/>
      <c r="D105" s="26"/>
      <c r="E105" s="26"/>
    </row>
    <row r="106" spans="1:5" x14ac:dyDescent="0.2">
      <c r="A106" s="29"/>
      <c r="B106" s="29"/>
      <c r="D106" s="26"/>
      <c r="E106" s="26"/>
    </row>
    <row r="107" spans="1:5" x14ac:dyDescent="0.2">
      <c r="A107" s="29"/>
      <c r="B107" s="29"/>
      <c r="D107" s="26"/>
      <c r="E107" s="26"/>
    </row>
    <row r="108" spans="1:5" x14ac:dyDescent="0.2">
      <c r="A108" s="29"/>
      <c r="B108" s="29"/>
      <c r="D108" s="26"/>
      <c r="E108" s="26"/>
    </row>
    <row r="109" spans="1:5" x14ac:dyDescent="0.2">
      <c r="A109" s="29"/>
      <c r="B109" s="29"/>
      <c r="D109" s="26"/>
      <c r="E109" s="26"/>
    </row>
    <row r="110" spans="1:5" x14ac:dyDescent="0.2">
      <c r="A110" s="29"/>
      <c r="B110" s="29"/>
      <c r="D110" s="26"/>
      <c r="E110" s="26"/>
    </row>
    <row r="111" spans="1:5" x14ac:dyDescent="0.2">
      <c r="A111" s="29"/>
      <c r="B111" s="29"/>
      <c r="D111" s="26"/>
      <c r="E111" s="26"/>
    </row>
    <row r="112" spans="1:5" x14ac:dyDescent="0.2">
      <c r="A112" s="29"/>
      <c r="B112" s="29"/>
      <c r="D112" s="26"/>
      <c r="E112" s="26"/>
    </row>
    <row r="113" spans="1:5" x14ac:dyDescent="0.2">
      <c r="A113" s="29"/>
      <c r="B113" s="29"/>
      <c r="D113" s="26"/>
      <c r="E113" s="26"/>
    </row>
    <row r="114" spans="1:5" x14ac:dyDescent="0.2">
      <c r="A114" s="29"/>
      <c r="B114" s="29"/>
      <c r="D114" s="26"/>
      <c r="E114" s="26"/>
    </row>
    <row r="115" spans="1:5" x14ac:dyDescent="0.2">
      <c r="A115" s="29"/>
      <c r="B115" s="29"/>
      <c r="D115" s="26"/>
      <c r="E115" s="26"/>
    </row>
    <row r="116" spans="1:5" x14ac:dyDescent="0.2">
      <c r="A116" s="29"/>
      <c r="B116" s="29"/>
      <c r="D116" s="26"/>
      <c r="E116" s="26"/>
    </row>
    <row r="117" spans="1:5" x14ac:dyDescent="0.2">
      <c r="A117" s="29"/>
      <c r="B117" s="29"/>
      <c r="D117" s="26"/>
      <c r="E117" s="26"/>
    </row>
    <row r="118" spans="1:5" x14ac:dyDescent="0.2">
      <c r="A118" s="29"/>
      <c r="B118" s="29"/>
      <c r="D118" s="26"/>
      <c r="E118" s="26"/>
    </row>
    <row r="119" spans="1:5" x14ac:dyDescent="0.2">
      <c r="A119" s="29"/>
      <c r="B119" s="29"/>
      <c r="D119" s="26"/>
      <c r="E119" s="26"/>
    </row>
    <row r="120" spans="1:5" x14ac:dyDescent="0.2">
      <c r="A120" s="29"/>
      <c r="B120" s="29"/>
      <c r="D120" s="26"/>
      <c r="E120" s="26"/>
    </row>
    <row r="121" spans="1:5" x14ac:dyDescent="0.2">
      <c r="A121" s="29"/>
      <c r="B121" s="29"/>
      <c r="D121" s="26"/>
      <c r="E121" s="26"/>
    </row>
    <row r="122" spans="1:5" x14ac:dyDescent="0.2">
      <c r="A122" s="29"/>
      <c r="B122" s="29"/>
      <c r="D122" s="26"/>
      <c r="E122" s="26"/>
    </row>
    <row r="123" spans="1:5" x14ac:dyDescent="0.2">
      <c r="A123" s="29"/>
      <c r="B123" s="29"/>
      <c r="D123" s="26"/>
      <c r="E123" s="26"/>
    </row>
    <row r="124" spans="1:5" x14ac:dyDescent="0.2">
      <c r="A124" s="29"/>
      <c r="B124" s="29"/>
      <c r="D124" s="26"/>
      <c r="E124" s="26"/>
    </row>
    <row r="125" spans="1:5" x14ac:dyDescent="0.2">
      <c r="A125" s="29"/>
      <c r="B125" s="29"/>
      <c r="D125" s="26"/>
      <c r="E125" s="26"/>
    </row>
    <row r="126" spans="1:5" x14ac:dyDescent="0.2">
      <c r="A126" s="29"/>
      <c r="B126" s="29"/>
      <c r="D126" s="26"/>
      <c r="E126" s="26"/>
    </row>
    <row r="127" spans="1:5" x14ac:dyDescent="0.2">
      <c r="A127" s="29"/>
      <c r="B127" s="29"/>
      <c r="D127" s="26"/>
      <c r="E127" s="26"/>
    </row>
    <row r="128" spans="1:5" x14ac:dyDescent="0.2">
      <c r="A128" s="29"/>
      <c r="B128" s="29"/>
      <c r="D128" s="26"/>
      <c r="E128" s="26"/>
    </row>
    <row r="129" spans="1:5" x14ac:dyDescent="0.2">
      <c r="A129" s="29"/>
      <c r="B129" s="29"/>
      <c r="D129" s="26"/>
      <c r="E129" s="26"/>
    </row>
    <row r="130" spans="1:5" x14ac:dyDescent="0.2">
      <c r="A130" s="29"/>
      <c r="B130" s="29"/>
      <c r="D130" s="26"/>
      <c r="E130" s="26"/>
    </row>
    <row r="131" spans="1:5" x14ac:dyDescent="0.2">
      <c r="A131" s="29"/>
      <c r="B131" s="29"/>
      <c r="D131" s="26"/>
      <c r="E131" s="26"/>
    </row>
    <row r="132" spans="1:5" x14ac:dyDescent="0.2">
      <c r="A132" s="29"/>
      <c r="B132" s="29"/>
      <c r="D132" s="26"/>
      <c r="E132" s="26"/>
    </row>
    <row r="133" spans="1:5" x14ac:dyDescent="0.2">
      <c r="A133" s="29"/>
      <c r="B133" s="29"/>
      <c r="D133" s="26"/>
      <c r="E133" s="26"/>
    </row>
    <row r="134" spans="1:5" x14ac:dyDescent="0.2">
      <c r="A134" s="29"/>
      <c r="B134" s="29"/>
      <c r="D134" s="26"/>
      <c r="E134" s="26"/>
    </row>
    <row r="135" spans="1:5" x14ac:dyDescent="0.2">
      <c r="A135" s="29"/>
      <c r="B135" s="29"/>
      <c r="D135" s="26"/>
      <c r="E135" s="26"/>
    </row>
    <row r="136" spans="1:5" x14ac:dyDescent="0.2">
      <c r="A136" s="29"/>
      <c r="B136" s="29"/>
      <c r="D136" s="26"/>
      <c r="E136" s="26"/>
    </row>
    <row r="137" spans="1:5" x14ac:dyDescent="0.2">
      <c r="A137" s="29"/>
      <c r="B137" s="29"/>
      <c r="D137" s="26"/>
      <c r="E137" s="26"/>
    </row>
    <row r="138" spans="1:5" x14ac:dyDescent="0.2">
      <c r="A138" s="29"/>
      <c r="B138" s="29"/>
      <c r="D138" s="26"/>
      <c r="E138" s="26"/>
    </row>
    <row r="139" spans="1:5" x14ac:dyDescent="0.2">
      <c r="A139" s="29"/>
      <c r="B139" s="29"/>
      <c r="D139" s="26"/>
      <c r="E139" s="26"/>
    </row>
    <row r="140" spans="1:5" x14ac:dyDescent="0.2">
      <c r="A140" s="29"/>
      <c r="B140" s="29"/>
      <c r="D140" s="26"/>
      <c r="E140" s="26"/>
    </row>
    <row r="141" spans="1:5" x14ac:dyDescent="0.2">
      <c r="A141" s="29"/>
      <c r="B141" s="29"/>
      <c r="D141" s="26"/>
      <c r="E141" s="26"/>
    </row>
    <row r="142" spans="1:5" x14ac:dyDescent="0.2">
      <c r="A142" s="29"/>
      <c r="B142" s="29"/>
      <c r="D142" s="26"/>
      <c r="E142" s="26"/>
    </row>
    <row r="143" spans="1:5" x14ac:dyDescent="0.2">
      <c r="A143" s="29"/>
      <c r="B143" s="29"/>
      <c r="D143" s="26"/>
      <c r="E143" s="26"/>
    </row>
    <row r="144" spans="1:5" x14ac:dyDescent="0.2">
      <c r="A144" s="29"/>
      <c r="B144" s="29"/>
      <c r="D144" s="26"/>
      <c r="E144" s="26"/>
    </row>
    <row r="145" spans="1:5" x14ac:dyDescent="0.2">
      <c r="A145" s="29"/>
      <c r="B145" s="29"/>
      <c r="D145" s="26"/>
      <c r="E145" s="26"/>
    </row>
    <row r="146" spans="1:5" x14ac:dyDescent="0.2">
      <c r="A146" s="29"/>
      <c r="B146" s="29"/>
      <c r="D146" s="26"/>
      <c r="E146" s="26"/>
    </row>
    <row r="147" spans="1:5" x14ac:dyDescent="0.2">
      <c r="A147" s="29"/>
      <c r="B147" s="29"/>
      <c r="D147" s="26"/>
      <c r="E147" s="26"/>
    </row>
    <row r="148" spans="1:5" x14ac:dyDescent="0.2">
      <c r="A148" s="29"/>
      <c r="B148" s="29"/>
      <c r="D148" s="26"/>
      <c r="E148" s="26"/>
    </row>
    <row r="149" spans="1:5" x14ac:dyDescent="0.2">
      <c r="A149" s="29"/>
      <c r="B149" s="29"/>
      <c r="D149" s="26"/>
      <c r="E149" s="26"/>
    </row>
    <row r="150" spans="1:5" x14ac:dyDescent="0.2">
      <c r="A150" s="29"/>
      <c r="B150" s="29"/>
      <c r="D150" s="26"/>
      <c r="E150" s="26"/>
    </row>
    <row r="151" spans="1:5" x14ac:dyDescent="0.2">
      <c r="A151" s="29"/>
      <c r="B151" s="29"/>
      <c r="D151" s="26"/>
      <c r="E151" s="26"/>
    </row>
    <row r="152" spans="1:5" x14ac:dyDescent="0.2">
      <c r="A152" s="29"/>
      <c r="B152" s="29"/>
      <c r="D152" s="26"/>
      <c r="E152" s="26"/>
    </row>
    <row r="153" spans="1:5" x14ac:dyDescent="0.2">
      <c r="A153" s="29"/>
      <c r="B153" s="29"/>
      <c r="D153" s="26"/>
      <c r="E153" s="26"/>
    </row>
    <row r="154" spans="1:5" x14ac:dyDescent="0.2">
      <c r="A154" s="29"/>
      <c r="B154" s="29"/>
      <c r="D154" s="26"/>
      <c r="E154" s="26"/>
    </row>
    <row r="155" spans="1:5" x14ac:dyDescent="0.2">
      <c r="A155" s="29"/>
      <c r="B155" s="29"/>
      <c r="D155" s="26"/>
      <c r="E155" s="26"/>
    </row>
    <row r="156" spans="1:5" x14ac:dyDescent="0.2">
      <c r="A156" s="29"/>
      <c r="B156" s="29"/>
      <c r="D156" s="26"/>
      <c r="E156" s="26"/>
    </row>
    <row r="157" spans="1:5" x14ac:dyDescent="0.2">
      <c r="A157" s="29"/>
      <c r="B157" s="29"/>
      <c r="D157" s="26"/>
      <c r="E157" s="26"/>
    </row>
    <row r="158" spans="1:5" x14ac:dyDescent="0.2">
      <c r="A158" s="29"/>
      <c r="B158" s="29"/>
      <c r="D158" s="26"/>
      <c r="E158" s="26"/>
    </row>
    <row r="159" spans="1:5" x14ac:dyDescent="0.2">
      <c r="A159" s="29"/>
      <c r="B159" s="29"/>
      <c r="D159" s="26"/>
      <c r="E159" s="26"/>
    </row>
    <row r="160" spans="1:5" x14ac:dyDescent="0.2">
      <c r="A160" s="29"/>
      <c r="B160" s="29"/>
      <c r="D160" s="26"/>
      <c r="E160" s="26"/>
    </row>
    <row r="161" spans="1:5" x14ac:dyDescent="0.2">
      <c r="A161" s="29"/>
      <c r="B161" s="29"/>
      <c r="D161" s="26"/>
      <c r="E161" s="26"/>
    </row>
    <row r="162" spans="1:5" x14ac:dyDescent="0.2">
      <c r="A162" s="29"/>
      <c r="B162" s="29"/>
      <c r="D162" s="26"/>
      <c r="E162" s="26"/>
    </row>
    <row r="163" spans="1:5" x14ac:dyDescent="0.2">
      <c r="A163" s="29"/>
      <c r="B163" s="29"/>
      <c r="D163" s="26"/>
      <c r="E163" s="26"/>
    </row>
    <row r="164" spans="1:5" x14ac:dyDescent="0.2">
      <c r="A164" s="29"/>
      <c r="B164" s="29"/>
      <c r="D164" s="26"/>
      <c r="E164" s="26"/>
    </row>
    <row r="165" spans="1:5" x14ac:dyDescent="0.2">
      <c r="A165" s="29"/>
      <c r="B165" s="29"/>
      <c r="D165" s="26"/>
      <c r="E165" s="26"/>
    </row>
    <row r="166" spans="1:5" x14ac:dyDescent="0.2">
      <c r="A166" s="29"/>
      <c r="B166" s="29"/>
      <c r="D166" s="26"/>
      <c r="E166" s="26"/>
    </row>
    <row r="167" spans="1:5" x14ac:dyDescent="0.2">
      <c r="A167" s="29"/>
      <c r="B167" s="29"/>
      <c r="D167" s="26"/>
      <c r="E167" s="26"/>
    </row>
    <row r="168" spans="1:5" x14ac:dyDescent="0.2">
      <c r="A168" s="29"/>
      <c r="B168" s="29"/>
      <c r="D168" s="26"/>
      <c r="E168" s="26"/>
    </row>
    <row r="169" spans="1:5" x14ac:dyDescent="0.2">
      <c r="A169" s="29"/>
      <c r="B169" s="29"/>
      <c r="D169" s="26"/>
      <c r="E169" s="26"/>
    </row>
    <row r="170" spans="1:5" x14ac:dyDescent="0.2">
      <c r="A170" s="29"/>
      <c r="B170" s="29"/>
      <c r="D170" s="26"/>
      <c r="E170" s="26"/>
    </row>
    <row r="171" spans="1:5" x14ac:dyDescent="0.2">
      <c r="A171" s="29"/>
      <c r="B171" s="29"/>
      <c r="D171" s="26"/>
      <c r="E171" s="26"/>
    </row>
    <row r="172" spans="1:5" x14ac:dyDescent="0.2">
      <c r="A172" s="29"/>
      <c r="B172" s="29"/>
      <c r="D172" s="26"/>
      <c r="E172" s="26"/>
    </row>
    <row r="173" spans="1:5" x14ac:dyDescent="0.2">
      <c r="A173" s="29"/>
      <c r="B173" s="29"/>
      <c r="D173" s="26"/>
      <c r="E173" s="26"/>
    </row>
    <row r="174" spans="1:5" x14ac:dyDescent="0.2">
      <c r="A174" s="29"/>
      <c r="B174" s="29"/>
      <c r="D174" s="26"/>
      <c r="E174" s="26"/>
    </row>
    <row r="175" spans="1:5" x14ac:dyDescent="0.2">
      <c r="A175" s="29"/>
      <c r="B175" s="29"/>
      <c r="D175" s="26"/>
      <c r="E175" s="26"/>
    </row>
    <row r="176" spans="1:5" x14ac:dyDescent="0.2">
      <c r="A176" s="29"/>
      <c r="B176" s="29"/>
      <c r="D176" s="26"/>
      <c r="E176" s="26"/>
    </row>
    <row r="177" spans="1:5" x14ac:dyDescent="0.2">
      <c r="A177" s="29"/>
      <c r="B177" s="29"/>
      <c r="D177" s="26"/>
      <c r="E177" s="26"/>
    </row>
    <row r="178" spans="1:5" x14ac:dyDescent="0.2">
      <c r="A178" s="29"/>
      <c r="B178" s="29"/>
      <c r="D178" s="26"/>
      <c r="E178" s="26"/>
    </row>
    <row r="179" spans="1:5" x14ac:dyDescent="0.2">
      <c r="A179" s="29"/>
      <c r="B179" s="29"/>
      <c r="D179" s="26"/>
      <c r="E179" s="26"/>
    </row>
    <row r="180" spans="1:5" x14ac:dyDescent="0.2">
      <c r="A180" s="29"/>
      <c r="B180" s="29"/>
      <c r="D180" s="26"/>
      <c r="E180" s="26"/>
    </row>
    <row r="181" spans="1:5" x14ac:dyDescent="0.2">
      <c r="A181" s="29"/>
      <c r="B181" s="29"/>
      <c r="D181" s="26"/>
      <c r="E181" s="26"/>
    </row>
    <row r="182" spans="1:5" x14ac:dyDescent="0.2">
      <c r="A182" s="29"/>
      <c r="B182" s="29"/>
      <c r="D182" s="26"/>
      <c r="E182" s="26"/>
    </row>
    <row r="183" spans="1:5" x14ac:dyDescent="0.2">
      <c r="A183" s="29"/>
      <c r="B183" s="29"/>
      <c r="D183" s="26"/>
      <c r="E183" s="26"/>
    </row>
    <row r="184" spans="1:5" x14ac:dyDescent="0.2">
      <c r="A184" s="29"/>
      <c r="B184" s="29"/>
      <c r="D184" s="26"/>
      <c r="E184" s="26"/>
    </row>
    <row r="185" spans="1:5" x14ac:dyDescent="0.2">
      <c r="A185" s="29"/>
      <c r="B185" s="29"/>
      <c r="D185" s="26"/>
      <c r="E185" s="26"/>
    </row>
    <row r="186" spans="1:5" x14ac:dyDescent="0.2">
      <c r="A186" s="29"/>
      <c r="B186" s="29"/>
      <c r="D186" s="26"/>
      <c r="E186" s="26"/>
    </row>
    <row r="187" spans="1:5" x14ac:dyDescent="0.2">
      <c r="A187" s="29"/>
      <c r="B187" s="29"/>
      <c r="D187" s="26"/>
      <c r="E187" s="26"/>
    </row>
    <row r="188" spans="1:5" x14ac:dyDescent="0.2">
      <c r="A188" s="29"/>
      <c r="B188" s="29"/>
      <c r="D188" s="26"/>
      <c r="E188" s="26"/>
    </row>
    <row r="189" spans="1:5" x14ac:dyDescent="0.2">
      <c r="A189" s="29"/>
      <c r="B189" s="29"/>
      <c r="D189" s="26"/>
      <c r="E189" s="26"/>
    </row>
    <row r="190" spans="1:5" x14ac:dyDescent="0.2">
      <c r="A190" s="29"/>
      <c r="B190" s="29"/>
      <c r="D190" s="26"/>
      <c r="E190" s="26"/>
    </row>
    <row r="191" spans="1:5" x14ac:dyDescent="0.2">
      <c r="A191" s="29"/>
      <c r="B191" s="29"/>
      <c r="D191" s="26"/>
      <c r="E191" s="26"/>
    </row>
    <row r="192" spans="1:5" x14ac:dyDescent="0.2">
      <c r="A192" s="29"/>
      <c r="B192" s="29"/>
      <c r="D192" s="26"/>
      <c r="E192" s="26"/>
    </row>
    <row r="193" spans="1:5" x14ac:dyDescent="0.2">
      <c r="A193" s="29"/>
      <c r="B193" s="29"/>
      <c r="D193" s="26"/>
      <c r="E193" s="26"/>
    </row>
    <row r="194" spans="1:5" x14ac:dyDescent="0.2">
      <c r="A194" s="29"/>
      <c r="B194" s="29"/>
      <c r="D194" s="26"/>
      <c r="E194" s="26"/>
    </row>
    <row r="195" spans="1:5" x14ac:dyDescent="0.2">
      <c r="A195" s="29"/>
      <c r="B195" s="29"/>
      <c r="D195" s="26"/>
      <c r="E195" s="26"/>
    </row>
    <row r="196" spans="1:5" x14ac:dyDescent="0.2">
      <c r="A196" s="29"/>
      <c r="B196" s="29"/>
      <c r="D196" s="26"/>
      <c r="E196" s="26"/>
    </row>
    <row r="197" spans="1:5" x14ac:dyDescent="0.2">
      <c r="A197" s="29"/>
      <c r="B197" s="29"/>
      <c r="D197" s="26"/>
      <c r="E197" s="26"/>
    </row>
    <row r="198" spans="1:5" x14ac:dyDescent="0.2">
      <c r="A198" s="29"/>
      <c r="B198" s="29"/>
      <c r="D198" s="26"/>
      <c r="E198" s="26"/>
    </row>
    <row r="199" spans="1:5" x14ac:dyDescent="0.2">
      <c r="A199" s="29"/>
      <c r="B199" s="29"/>
      <c r="D199" s="26"/>
      <c r="E199" s="26"/>
    </row>
    <row r="200" spans="1:5" x14ac:dyDescent="0.2">
      <c r="A200" s="29"/>
      <c r="B200" s="29"/>
      <c r="D200" s="26"/>
      <c r="E200" s="26"/>
    </row>
    <row r="201" spans="1:5" x14ac:dyDescent="0.2">
      <c r="A201" s="29"/>
      <c r="B201" s="29"/>
      <c r="D201" s="26"/>
      <c r="E201" s="26"/>
    </row>
    <row r="202" spans="1:5" x14ac:dyDescent="0.2">
      <c r="A202" s="29"/>
      <c r="B202" s="29"/>
      <c r="D202" s="26"/>
      <c r="E202" s="26"/>
    </row>
    <row r="203" spans="1:5" x14ac:dyDescent="0.2">
      <c r="A203" s="29"/>
      <c r="B203" s="29"/>
      <c r="D203" s="26"/>
      <c r="E203" s="26"/>
    </row>
    <row r="204" spans="1:5" x14ac:dyDescent="0.2">
      <c r="A204" s="29"/>
      <c r="B204" s="29"/>
      <c r="D204" s="26"/>
      <c r="E204" s="26"/>
    </row>
    <row r="205" spans="1:5" x14ac:dyDescent="0.2">
      <c r="A205" s="29"/>
      <c r="B205" s="29"/>
      <c r="D205" s="26"/>
      <c r="E205" s="26"/>
    </row>
    <row r="206" spans="1:5" x14ac:dyDescent="0.2">
      <c r="A206" s="29"/>
      <c r="B206" s="29"/>
      <c r="D206" s="26"/>
      <c r="E206" s="26"/>
    </row>
    <row r="207" spans="1:5" x14ac:dyDescent="0.2">
      <c r="A207" s="29"/>
      <c r="B207" s="29"/>
      <c r="D207" s="26"/>
      <c r="E207" s="26"/>
    </row>
    <row r="208" spans="1:5" x14ac:dyDescent="0.2">
      <c r="A208" s="29"/>
      <c r="B208" s="29"/>
      <c r="D208" s="26"/>
      <c r="E208" s="26"/>
    </row>
    <row r="209" spans="1:5" x14ac:dyDescent="0.2">
      <c r="A209" s="29"/>
      <c r="B209" s="29"/>
      <c r="D209" s="26"/>
      <c r="E209" s="26"/>
    </row>
    <row r="210" spans="1:5" x14ac:dyDescent="0.2">
      <c r="A210" s="29"/>
      <c r="B210" s="29"/>
      <c r="D210" s="26"/>
      <c r="E210" s="26"/>
    </row>
    <row r="211" spans="1:5" x14ac:dyDescent="0.2">
      <c r="A211" s="29"/>
      <c r="B211" s="29"/>
      <c r="D211" s="26"/>
      <c r="E211" s="26"/>
    </row>
    <row r="212" spans="1:5" x14ac:dyDescent="0.2">
      <c r="A212" s="29"/>
      <c r="B212" s="29"/>
      <c r="D212" s="26"/>
      <c r="E212" s="26"/>
    </row>
    <row r="213" spans="1:5" x14ac:dyDescent="0.2">
      <c r="A213" s="29"/>
      <c r="B213" s="29"/>
      <c r="D213" s="26"/>
      <c r="E213" s="26"/>
    </row>
    <row r="214" spans="1:5" x14ac:dyDescent="0.2">
      <c r="A214" s="29"/>
      <c r="B214" s="29"/>
      <c r="D214" s="26"/>
      <c r="E214" s="26"/>
    </row>
    <row r="215" spans="1:5" x14ac:dyDescent="0.2">
      <c r="A215" s="29"/>
      <c r="B215" s="29"/>
      <c r="D215" s="26"/>
      <c r="E215" s="26"/>
    </row>
    <row r="216" spans="1:5" x14ac:dyDescent="0.2">
      <c r="A216" s="29"/>
      <c r="B216" s="29"/>
      <c r="D216" s="26"/>
      <c r="E216" s="26"/>
    </row>
    <row r="217" spans="1:5" x14ac:dyDescent="0.2">
      <c r="A217" s="29"/>
      <c r="B217" s="29"/>
      <c r="D217" s="26"/>
      <c r="E217" s="26"/>
    </row>
    <row r="218" spans="1:5" x14ac:dyDescent="0.2">
      <c r="A218" s="29"/>
      <c r="B218" s="29"/>
      <c r="D218" s="26"/>
      <c r="E218" s="26"/>
    </row>
    <row r="219" spans="1:5" x14ac:dyDescent="0.2">
      <c r="A219" s="29"/>
      <c r="B219" s="29"/>
      <c r="D219" s="26"/>
      <c r="E219" s="26"/>
    </row>
    <row r="220" spans="1:5" x14ac:dyDescent="0.2">
      <c r="A220" s="29"/>
      <c r="B220" s="29"/>
      <c r="D220" s="26"/>
      <c r="E220" s="26"/>
    </row>
    <row r="221" spans="1:5" x14ac:dyDescent="0.2">
      <c r="A221" s="29"/>
      <c r="B221" s="29"/>
      <c r="D221" s="26"/>
      <c r="E221" s="26"/>
    </row>
    <row r="222" spans="1:5" x14ac:dyDescent="0.2">
      <c r="A222" s="29"/>
      <c r="B222" s="29"/>
      <c r="D222" s="26"/>
      <c r="E222" s="26"/>
    </row>
    <row r="223" spans="1:5" x14ac:dyDescent="0.2">
      <c r="A223" s="29"/>
      <c r="B223" s="29"/>
      <c r="D223" s="26"/>
      <c r="E223" s="26"/>
    </row>
    <row r="224" spans="1:5" x14ac:dyDescent="0.2">
      <c r="A224" s="29"/>
      <c r="B224" s="29"/>
      <c r="D224" s="26"/>
      <c r="E224" s="26"/>
    </row>
    <row r="225" spans="1:5" x14ac:dyDescent="0.2">
      <c r="A225" s="29"/>
      <c r="B225" s="29"/>
      <c r="D225" s="26"/>
      <c r="E225" s="26"/>
    </row>
    <row r="226" spans="1:5" x14ac:dyDescent="0.2">
      <c r="A226" s="29"/>
      <c r="B226" s="29"/>
      <c r="D226" s="26"/>
      <c r="E226" s="26"/>
    </row>
    <row r="227" spans="1:5" x14ac:dyDescent="0.2">
      <c r="A227" s="29"/>
      <c r="B227" s="29"/>
      <c r="D227" s="26"/>
      <c r="E227" s="26"/>
    </row>
    <row r="228" spans="1:5" x14ac:dyDescent="0.2">
      <c r="A228" s="29"/>
      <c r="B228" s="29"/>
      <c r="D228" s="26"/>
      <c r="E228" s="26"/>
    </row>
    <row r="229" spans="1:5" x14ac:dyDescent="0.2">
      <c r="A229" s="29"/>
      <c r="B229" s="29"/>
      <c r="D229" s="26"/>
      <c r="E229" s="26"/>
    </row>
    <row r="230" spans="1:5" x14ac:dyDescent="0.2">
      <c r="A230" s="29"/>
      <c r="B230" s="29"/>
      <c r="D230" s="26"/>
      <c r="E230" s="26"/>
    </row>
    <row r="231" spans="1:5" x14ac:dyDescent="0.2">
      <c r="A231" s="29"/>
      <c r="B231" s="29"/>
      <c r="D231" s="26"/>
      <c r="E231" s="26"/>
    </row>
    <row r="232" spans="1:5" x14ac:dyDescent="0.2">
      <c r="A232" s="29"/>
      <c r="B232" s="29"/>
      <c r="D232" s="26"/>
      <c r="E232" s="26"/>
    </row>
    <row r="233" spans="1:5" x14ac:dyDescent="0.2">
      <c r="A233" s="29"/>
      <c r="B233" s="29"/>
      <c r="D233" s="26"/>
      <c r="E233" s="26"/>
    </row>
    <row r="234" spans="1:5" x14ac:dyDescent="0.2">
      <c r="A234" s="29"/>
      <c r="B234" s="29"/>
      <c r="D234" s="26"/>
      <c r="E234" s="26"/>
    </row>
    <row r="235" spans="1:5" x14ac:dyDescent="0.2">
      <c r="A235" s="29"/>
      <c r="B235" s="29"/>
      <c r="D235" s="26"/>
      <c r="E235" s="26"/>
    </row>
    <row r="236" spans="1:5" x14ac:dyDescent="0.2">
      <c r="A236" s="29"/>
      <c r="B236" s="29"/>
      <c r="D236" s="26"/>
      <c r="E236" s="26"/>
    </row>
    <row r="237" spans="1:5" x14ac:dyDescent="0.2">
      <c r="A237" s="29"/>
      <c r="B237" s="29"/>
      <c r="D237" s="26"/>
      <c r="E237" s="26"/>
    </row>
    <row r="238" spans="1:5" x14ac:dyDescent="0.2">
      <c r="A238" s="29"/>
      <c r="B238" s="29"/>
      <c r="D238" s="26"/>
      <c r="E238" s="26"/>
    </row>
    <row r="239" spans="1:5" x14ac:dyDescent="0.2">
      <c r="A239" s="29"/>
      <c r="B239" s="29"/>
      <c r="D239" s="26"/>
      <c r="E239" s="26"/>
    </row>
    <row r="240" spans="1:5" x14ac:dyDescent="0.2">
      <c r="A240" s="29"/>
      <c r="B240" s="29"/>
      <c r="D240" s="26"/>
      <c r="E240" s="26"/>
    </row>
    <row r="241" spans="1:5" x14ac:dyDescent="0.2">
      <c r="A241" s="29"/>
      <c r="B241" s="29"/>
      <c r="D241" s="26"/>
      <c r="E241" s="26"/>
    </row>
    <row r="242" spans="1:5" x14ac:dyDescent="0.2">
      <c r="A242" s="29"/>
      <c r="B242" s="29"/>
      <c r="D242" s="26"/>
      <c r="E242" s="26"/>
    </row>
    <row r="243" spans="1:5" x14ac:dyDescent="0.2">
      <c r="A243" s="29"/>
      <c r="B243" s="29"/>
      <c r="D243" s="26"/>
      <c r="E243" s="26"/>
    </row>
    <row r="244" spans="1:5" x14ac:dyDescent="0.2">
      <c r="A244" s="29"/>
      <c r="B244" s="29"/>
      <c r="D244" s="26"/>
      <c r="E244" s="26"/>
    </row>
    <row r="245" spans="1:5" x14ac:dyDescent="0.2">
      <c r="A245" s="29"/>
      <c r="B245" s="29"/>
      <c r="D245" s="26"/>
      <c r="E245" s="26"/>
    </row>
    <row r="246" spans="1:5" x14ac:dyDescent="0.2">
      <c r="A246" s="29"/>
      <c r="B246" s="29"/>
      <c r="D246" s="26"/>
      <c r="E246" s="26"/>
    </row>
    <row r="247" spans="1:5" x14ac:dyDescent="0.2">
      <c r="A247" s="29"/>
      <c r="B247" s="29"/>
      <c r="D247" s="26"/>
      <c r="E247" s="26"/>
    </row>
    <row r="248" spans="1:5" x14ac:dyDescent="0.2">
      <c r="A248" s="29"/>
      <c r="B248" s="29"/>
      <c r="D248" s="26"/>
      <c r="E248" s="26"/>
    </row>
    <row r="249" spans="1:5" x14ac:dyDescent="0.2">
      <c r="A249" s="29"/>
      <c r="B249" s="29"/>
      <c r="D249" s="26"/>
      <c r="E249" s="26"/>
    </row>
    <row r="250" spans="1:5" x14ac:dyDescent="0.2">
      <c r="A250" s="29"/>
      <c r="B250" s="29"/>
      <c r="D250" s="26"/>
      <c r="E250" s="26"/>
    </row>
    <row r="251" spans="1:5" x14ac:dyDescent="0.2">
      <c r="A251" s="29"/>
      <c r="B251" s="29"/>
      <c r="D251" s="26"/>
      <c r="E251" s="26"/>
    </row>
    <row r="252" spans="1:5" x14ac:dyDescent="0.2">
      <c r="A252" s="29"/>
      <c r="B252" s="29"/>
      <c r="D252" s="26"/>
      <c r="E252" s="26"/>
    </row>
    <row r="253" spans="1:5" x14ac:dyDescent="0.2">
      <c r="A253" s="29"/>
      <c r="B253" s="29"/>
      <c r="D253" s="26"/>
      <c r="E253" s="26"/>
    </row>
    <row r="254" spans="1:5" x14ac:dyDescent="0.2">
      <c r="A254" s="29"/>
      <c r="B254" s="29"/>
      <c r="D254" s="26"/>
      <c r="E254" s="26"/>
    </row>
    <row r="255" spans="1:5" x14ac:dyDescent="0.2">
      <c r="A255" s="29"/>
      <c r="B255" s="29"/>
      <c r="D255" s="26"/>
      <c r="E255" s="26"/>
    </row>
    <row r="256" spans="1:5" x14ac:dyDescent="0.2">
      <c r="A256" s="29"/>
      <c r="B256" s="29"/>
      <c r="D256" s="26"/>
      <c r="E256" s="26"/>
    </row>
    <row r="257" spans="1:5" x14ac:dyDescent="0.2">
      <c r="A257" s="29"/>
      <c r="B257" s="29"/>
      <c r="D257" s="26"/>
      <c r="E257" s="26"/>
    </row>
    <row r="258" spans="1:5" x14ac:dyDescent="0.2">
      <c r="A258" s="29"/>
      <c r="B258" s="29"/>
      <c r="D258" s="26"/>
      <c r="E258" s="26"/>
    </row>
    <row r="259" spans="1:5" x14ac:dyDescent="0.2">
      <c r="A259" s="29"/>
      <c r="B259" s="29"/>
      <c r="D259" s="26"/>
      <c r="E259" s="26"/>
    </row>
    <row r="260" spans="1:5" x14ac:dyDescent="0.2">
      <c r="A260" s="29"/>
      <c r="B260" s="29"/>
      <c r="D260" s="26"/>
      <c r="E260" s="26"/>
    </row>
    <row r="261" spans="1:5" x14ac:dyDescent="0.2">
      <c r="A261" s="29"/>
      <c r="B261" s="29"/>
      <c r="D261" s="26"/>
      <c r="E261" s="26"/>
    </row>
    <row r="262" spans="1:5" x14ac:dyDescent="0.2">
      <c r="A262" s="29"/>
      <c r="B262" s="29"/>
      <c r="D262" s="26"/>
      <c r="E262" s="26"/>
    </row>
    <row r="263" spans="1:5" x14ac:dyDescent="0.2">
      <c r="A263" s="29"/>
      <c r="B263" s="29"/>
      <c r="D263" s="26"/>
      <c r="E263" s="26"/>
    </row>
    <row r="264" spans="1:5" x14ac:dyDescent="0.2">
      <c r="A264" s="29"/>
      <c r="B264" s="29"/>
      <c r="D264" s="26"/>
      <c r="E264" s="26"/>
    </row>
    <row r="265" spans="1:5" x14ac:dyDescent="0.2">
      <c r="A265" s="29"/>
      <c r="B265" s="29"/>
      <c r="D265" s="26"/>
      <c r="E265" s="26"/>
    </row>
    <row r="266" spans="1:5" x14ac:dyDescent="0.2">
      <c r="A266" s="29"/>
      <c r="B266" s="29"/>
      <c r="D266" s="26"/>
      <c r="E266" s="26"/>
    </row>
    <row r="267" spans="1:5" x14ac:dyDescent="0.2">
      <c r="A267" s="29"/>
      <c r="B267" s="29"/>
      <c r="D267" s="26"/>
      <c r="E267" s="26"/>
    </row>
    <row r="268" spans="1:5" x14ac:dyDescent="0.2">
      <c r="A268" s="29"/>
      <c r="B268" s="29"/>
      <c r="D268" s="26"/>
      <c r="E268" s="26"/>
    </row>
    <row r="269" spans="1:5" x14ac:dyDescent="0.2">
      <c r="A269" s="29"/>
      <c r="B269" s="29"/>
      <c r="D269" s="26"/>
      <c r="E269" s="26"/>
    </row>
    <row r="270" spans="1:5" x14ac:dyDescent="0.2">
      <c r="A270" s="29"/>
      <c r="B270" s="29"/>
      <c r="D270" s="26"/>
      <c r="E270" s="26"/>
    </row>
    <row r="271" spans="1:5" x14ac:dyDescent="0.2">
      <c r="A271" s="29"/>
      <c r="B271" s="29"/>
      <c r="D271" s="26"/>
      <c r="E271" s="26"/>
    </row>
    <row r="272" spans="1:5" x14ac:dyDescent="0.2">
      <c r="A272" s="29"/>
      <c r="B272" s="29"/>
      <c r="D272" s="26"/>
      <c r="E272" s="26"/>
    </row>
    <row r="273" spans="1:5" x14ac:dyDescent="0.2">
      <c r="A273" s="29"/>
      <c r="B273" s="29"/>
      <c r="D273" s="26"/>
      <c r="E273" s="26"/>
    </row>
    <row r="274" spans="1:5" x14ac:dyDescent="0.2">
      <c r="A274" s="29"/>
      <c r="B274" s="29"/>
      <c r="D274" s="26"/>
      <c r="E274" s="26"/>
    </row>
    <row r="275" spans="1:5" x14ac:dyDescent="0.2">
      <c r="A275" s="29"/>
      <c r="B275" s="29"/>
      <c r="D275" s="26"/>
      <c r="E275" s="26"/>
    </row>
    <row r="276" spans="1:5" x14ac:dyDescent="0.2">
      <c r="A276" s="29"/>
      <c r="B276" s="29"/>
      <c r="D276" s="26"/>
      <c r="E276" s="26"/>
    </row>
    <row r="277" spans="1:5" x14ac:dyDescent="0.2">
      <c r="A277" s="29"/>
      <c r="B277" s="29"/>
      <c r="D277" s="26"/>
      <c r="E277" s="26"/>
    </row>
    <row r="278" spans="1:5" x14ac:dyDescent="0.2">
      <c r="A278" s="29"/>
      <c r="B278" s="29"/>
      <c r="D278" s="26"/>
      <c r="E278" s="26"/>
    </row>
    <row r="279" spans="1:5" x14ac:dyDescent="0.2">
      <c r="A279" s="29"/>
      <c r="B279" s="29"/>
      <c r="D279" s="26"/>
      <c r="E279" s="26"/>
    </row>
    <row r="280" spans="1:5" x14ac:dyDescent="0.2">
      <c r="A280" s="29"/>
      <c r="B280" s="29"/>
      <c r="D280" s="26"/>
      <c r="E280" s="26"/>
    </row>
    <row r="281" spans="1:5" x14ac:dyDescent="0.2">
      <c r="A281" s="29"/>
      <c r="B281" s="29"/>
      <c r="D281" s="26"/>
      <c r="E281" s="26"/>
    </row>
    <row r="282" spans="1:5" x14ac:dyDescent="0.2">
      <c r="A282" s="29"/>
      <c r="B282" s="29"/>
      <c r="D282" s="26"/>
      <c r="E282" s="26"/>
    </row>
    <row r="283" spans="1:5" x14ac:dyDescent="0.2">
      <c r="A283" s="29"/>
      <c r="B283" s="29"/>
      <c r="D283" s="26"/>
      <c r="E283" s="26"/>
    </row>
    <row r="284" spans="1:5" x14ac:dyDescent="0.2">
      <c r="A284" s="29"/>
      <c r="B284" s="29"/>
      <c r="D284" s="26"/>
      <c r="E284" s="26"/>
    </row>
    <row r="285" spans="1:5" x14ac:dyDescent="0.2">
      <c r="A285" s="29"/>
      <c r="B285" s="29"/>
      <c r="D285" s="26"/>
      <c r="E285" s="26"/>
    </row>
    <row r="286" spans="1:5" x14ac:dyDescent="0.2">
      <c r="A286" s="29"/>
      <c r="B286" s="29"/>
      <c r="D286" s="26"/>
      <c r="E286" s="26"/>
    </row>
    <row r="287" spans="1:5" x14ac:dyDescent="0.2">
      <c r="A287" s="29"/>
      <c r="B287" s="29"/>
      <c r="D287" s="26"/>
      <c r="E287" s="26"/>
    </row>
    <row r="288" spans="1:5" x14ac:dyDescent="0.2">
      <c r="A288" s="29"/>
      <c r="B288" s="29"/>
      <c r="D288" s="26"/>
      <c r="E288" s="26"/>
    </row>
    <row r="289" spans="1:5" x14ac:dyDescent="0.2">
      <c r="A289" s="29"/>
      <c r="B289" s="29"/>
      <c r="D289" s="26"/>
      <c r="E289" s="26"/>
    </row>
    <row r="290" spans="1:5" x14ac:dyDescent="0.2">
      <c r="A290" s="29"/>
      <c r="B290" s="29"/>
      <c r="D290" s="26"/>
      <c r="E290" s="26"/>
    </row>
    <row r="291" spans="1:5" x14ac:dyDescent="0.2">
      <c r="A291" s="29"/>
      <c r="B291" s="29"/>
      <c r="D291" s="26"/>
      <c r="E291" s="26"/>
    </row>
    <row r="292" spans="1:5" x14ac:dyDescent="0.2">
      <c r="A292" s="29"/>
      <c r="B292" s="29"/>
      <c r="D292" s="26"/>
      <c r="E292" s="26"/>
    </row>
    <row r="293" spans="1:5" x14ac:dyDescent="0.2">
      <c r="A293" s="29"/>
      <c r="B293" s="29"/>
      <c r="D293" s="26"/>
      <c r="E293" s="26"/>
    </row>
    <row r="294" spans="1:5" x14ac:dyDescent="0.2">
      <c r="A294" s="29"/>
      <c r="B294" s="29"/>
      <c r="D294" s="26"/>
      <c r="E294" s="26"/>
    </row>
    <row r="295" spans="1:5" x14ac:dyDescent="0.2">
      <c r="A295" s="29"/>
      <c r="B295" s="29"/>
      <c r="D295" s="26"/>
      <c r="E295" s="26"/>
    </row>
    <row r="296" spans="1:5" x14ac:dyDescent="0.2">
      <c r="A296" s="29"/>
      <c r="B296" s="29"/>
      <c r="D296" s="26"/>
      <c r="E296" s="26"/>
    </row>
    <row r="297" spans="1:5" x14ac:dyDescent="0.2">
      <c r="A297" s="29"/>
      <c r="B297" s="29"/>
      <c r="D297" s="26"/>
      <c r="E297" s="26"/>
    </row>
    <row r="298" spans="1:5" x14ac:dyDescent="0.2">
      <c r="A298" s="29"/>
      <c r="B298" s="29"/>
      <c r="D298" s="26"/>
      <c r="E298" s="26"/>
    </row>
    <row r="299" spans="1:5" x14ac:dyDescent="0.2">
      <c r="A299" s="29"/>
      <c r="B299" s="29"/>
      <c r="D299" s="26"/>
      <c r="E299" s="26"/>
    </row>
    <row r="300" spans="1:5" x14ac:dyDescent="0.2">
      <c r="A300" s="29"/>
      <c r="B300" s="29"/>
      <c r="D300" s="26"/>
      <c r="E300" s="26"/>
    </row>
    <row r="301" spans="1:5" x14ac:dyDescent="0.2">
      <c r="A301" s="29"/>
      <c r="B301" s="29"/>
      <c r="D301" s="26"/>
      <c r="E301" s="26"/>
    </row>
    <row r="302" spans="1:5" x14ac:dyDescent="0.2">
      <c r="A302" s="29"/>
      <c r="B302" s="29"/>
      <c r="D302" s="26"/>
      <c r="E302" s="26"/>
    </row>
    <row r="303" spans="1:5" x14ac:dyDescent="0.2">
      <c r="A303" s="29"/>
      <c r="B303" s="29"/>
      <c r="D303" s="26"/>
      <c r="E303" s="26"/>
    </row>
    <row r="304" spans="1:5" x14ac:dyDescent="0.2">
      <c r="A304" s="29"/>
      <c r="B304" s="29"/>
      <c r="D304" s="26"/>
      <c r="E304" s="26"/>
    </row>
    <row r="305" spans="1:5" x14ac:dyDescent="0.2">
      <c r="A305" s="29"/>
      <c r="B305" s="29"/>
      <c r="D305" s="26"/>
      <c r="E305" s="26"/>
    </row>
    <row r="306" spans="1:5" x14ac:dyDescent="0.2">
      <c r="A306" s="29"/>
      <c r="B306" s="29"/>
      <c r="D306" s="26"/>
      <c r="E306" s="26"/>
    </row>
    <row r="307" spans="1:5" x14ac:dyDescent="0.2">
      <c r="A307" s="29"/>
      <c r="B307" s="29"/>
      <c r="D307" s="26"/>
      <c r="E307" s="26"/>
    </row>
    <row r="308" spans="1:5" x14ac:dyDescent="0.2">
      <c r="A308" s="29"/>
      <c r="B308" s="29"/>
      <c r="D308" s="26"/>
      <c r="E308" s="26"/>
    </row>
    <row r="309" spans="1:5" x14ac:dyDescent="0.2">
      <c r="A309" s="29"/>
      <c r="B309" s="29"/>
      <c r="D309" s="26"/>
      <c r="E309" s="26"/>
    </row>
    <row r="310" spans="1:5" x14ac:dyDescent="0.2">
      <c r="A310" s="29"/>
      <c r="B310" s="29"/>
      <c r="D310" s="26"/>
      <c r="E310" s="26"/>
    </row>
    <row r="311" spans="1:5" x14ac:dyDescent="0.2">
      <c r="A311" s="29"/>
      <c r="B311" s="29"/>
      <c r="D311" s="26"/>
      <c r="E311" s="26"/>
    </row>
    <row r="312" spans="1:5" x14ac:dyDescent="0.2">
      <c r="A312" s="29"/>
      <c r="B312" s="29"/>
      <c r="D312" s="26"/>
      <c r="E312" s="26"/>
    </row>
    <row r="313" spans="1:5" x14ac:dyDescent="0.2">
      <c r="A313" s="29"/>
      <c r="B313" s="29"/>
      <c r="D313" s="26"/>
      <c r="E313" s="26"/>
    </row>
    <row r="314" spans="1:5" x14ac:dyDescent="0.2">
      <c r="A314" s="29"/>
      <c r="B314" s="29"/>
      <c r="D314" s="26"/>
      <c r="E314" s="26"/>
    </row>
    <row r="315" spans="1:5" x14ac:dyDescent="0.2">
      <c r="A315" s="29"/>
      <c r="B315" s="29"/>
      <c r="D315" s="26"/>
      <c r="E315" s="26"/>
    </row>
    <row r="316" spans="1:5" x14ac:dyDescent="0.2">
      <c r="A316" s="29"/>
      <c r="B316" s="29"/>
      <c r="D316" s="26"/>
      <c r="E316" s="26"/>
    </row>
    <row r="317" spans="1:5" x14ac:dyDescent="0.2">
      <c r="A317" s="29"/>
      <c r="B317" s="29"/>
      <c r="D317" s="26"/>
      <c r="E317" s="26"/>
    </row>
    <row r="318" spans="1:5" x14ac:dyDescent="0.2">
      <c r="A318" s="29"/>
      <c r="B318" s="29"/>
      <c r="D318" s="26"/>
      <c r="E318" s="26"/>
    </row>
    <row r="319" spans="1:5" x14ac:dyDescent="0.2">
      <c r="A319" s="29"/>
      <c r="B319" s="29"/>
      <c r="D319" s="26"/>
      <c r="E319" s="26"/>
    </row>
    <row r="320" spans="1:5" x14ac:dyDescent="0.2">
      <c r="A320" s="29"/>
      <c r="B320" s="29"/>
      <c r="D320" s="26"/>
      <c r="E320" s="26"/>
    </row>
    <row r="321" spans="1:5" x14ac:dyDescent="0.2">
      <c r="A321" s="29"/>
      <c r="B321" s="29"/>
      <c r="D321" s="26"/>
      <c r="E321" s="26"/>
    </row>
    <row r="322" spans="1:5" x14ac:dyDescent="0.2">
      <c r="A322" s="29"/>
      <c r="B322" s="29"/>
      <c r="D322" s="26"/>
      <c r="E322" s="26"/>
    </row>
    <row r="323" spans="1:5" x14ac:dyDescent="0.2">
      <c r="A323" s="29"/>
      <c r="B323" s="29"/>
      <c r="D323" s="26"/>
      <c r="E323" s="26"/>
    </row>
    <row r="324" spans="1:5" x14ac:dyDescent="0.2">
      <c r="A324" s="29"/>
      <c r="B324" s="29"/>
      <c r="D324" s="26"/>
      <c r="E324" s="26"/>
    </row>
    <row r="325" spans="1:5" x14ac:dyDescent="0.2">
      <c r="A325" s="29"/>
      <c r="B325" s="29"/>
      <c r="D325" s="26"/>
      <c r="E325" s="26"/>
    </row>
    <row r="326" spans="1:5" x14ac:dyDescent="0.2">
      <c r="A326" s="29"/>
      <c r="B326" s="29"/>
      <c r="D326" s="26"/>
      <c r="E326" s="26"/>
    </row>
    <row r="327" spans="1:5" x14ac:dyDescent="0.2">
      <c r="A327" s="29"/>
      <c r="B327" s="29"/>
      <c r="D327" s="26"/>
      <c r="E327" s="26"/>
    </row>
    <row r="328" spans="1:5" x14ac:dyDescent="0.2">
      <c r="A328" s="29"/>
      <c r="B328" s="29"/>
      <c r="D328" s="26"/>
      <c r="E328" s="26"/>
    </row>
    <row r="329" spans="1:5" x14ac:dyDescent="0.2">
      <c r="A329" s="29"/>
      <c r="B329" s="29"/>
      <c r="D329" s="26"/>
      <c r="E329" s="26"/>
    </row>
    <row r="330" spans="1:5" x14ac:dyDescent="0.2">
      <c r="A330" s="29"/>
      <c r="B330" s="29"/>
      <c r="D330" s="26"/>
      <c r="E330" s="26"/>
    </row>
    <row r="331" spans="1:5" x14ac:dyDescent="0.2">
      <c r="A331" s="29"/>
      <c r="B331" s="29"/>
      <c r="D331" s="26"/>
      <c r="E331" s="26"/>
    </row>
    <row r="332" spans="1:5" x14ac:dyDescent="0.2">
      <c r="A332" s="29"/>
      <c r="B332" s="29"/>
      <c r="D332" s="26"/>
      <c r="E332" s="26"/>
    </row>
    <row r="333" spans="1:5" x14ac:dyDescent="0.2">
      <c r="A333" s="29"/>
      <c r="B333" s="29"/>
      <c r="D333" s="26"/>
      <c r="E333" s="26"/>
    </row>
    <row r="334" spans="1:5" x14ac:dyDescent="0.2">
      <c r="A334" s="29"/>
      <c r="B334" s="29"/>
      <c r="D334" s="26"/>
      <c r="E334" s="26"/>
    </row>
    <row r="335" spans="1:5" x14ac:dyDescent="0.2">
      <c r="A335" s="29"/>
      <c r="B335" s="29"/>
      <c r="D335" s="26"/>
      <c r="E335" s="26"/>
    </row>
    <row r="336" spans="1:5" x14ac:dyDescent="0.2">
      <c r="A336" s="29"/>
      <c r="B336" s="29"/>
      <c r="D336" s="26"/>
      <c r="E336" s="26"/>
    </row>
    <row r="337" spans="1:5" x14ac:dyDescent="0.2">
      <c r="A337" s="29"/>
      <c r="B337" s="29"/>
      <c r="D337" s="26"/>
      <c r="E337" s="26"/>
    </row>
    <row r="338" spans="1:5" x14ac:dyDescent="0.2">
      <c r="A338" s="29"/>
      <c r="B338" s="29"/>
      <c r="D338" s="26"/>
      <c r="E338" s="26"/>
    </row>
    <row r="339" spans="1:5" x14ac:dyDescent="0.2">
      <c r="A339" s="29"/>
      <c r="B339" s="29"/>
      <c r="D339" s="26"/>
      <c r="E339" s="26"/>
    </row>
    <row r="340" spans="1:5" x14ac:dyDescent="0.2">
      <c r="A340" s="29"/>
      <c r="B340" s="29"/>
      <c r="D340" s="26"/>
      <c r="E340" s="26"/>
    </row>
    <row r="341" spans="1:5" x14ac:dyDescent="0.2">
      <c r="A341" s="29"/>
      <c r="B341" s="29"/>
      <c r="D341" s="26"/>
      <c r="E341" s="26"/>
    </row>
    <row r="342" spans="1:5" x14ac:dyDescent="0.2">
      <c r="A342" s="29"/>
      <c r="B342" s="29"/>
      <c r="D342" s="26"/>
      <c r="E342" s="26"/>
    </row>
    <row r="343" spans="1:5" x14ac:dyDescent="0.2">
      <c r="D343" s="26"/>
      <c r="E343" s="26"/>
    </row>
    <row r="344" spans="1:5" x14ac:dyDescent="0.2">
      <c r="D344" s="26"/>
      <c r="E344" s="26"/>
    </row>
    <row r="345" spans="1:5" x14ac:dyDescent="0.2">
      <c r="D345" s="26"/>
      <c r="E345" s="26"/>
    </row>
    <row r="346" spans="1:5" x14ac:dyDescent="0.2">
      <c r="D346" s="26"/>
      <c r="E346" s="26"/>
    </row>
    <row r="347" spans="1:5" x14ac:dyDescent="0.2">
      <c r="D347" s="26"/>
      <c r="E347" s="26"/>
    </row>
    <row r="348" spans="1:5" x14ac:dyDescent="0.2">
      <c r="D348" s="26"/>
      <c r="E348" s="26"/>
    </row>
    <row r="349" spans="1:5" x14ac:dyDescent="0.2">
      <c r="D349" s="26"/>
      <c r="E349" s="26"/>
    </row>
    <row r="350" spans="1:5" x14ac:dyDescent="0.2">
      <c r="D350" s="26"/>
      <c r="E350" s="26"/>
    </row>
    <row r="351" spans="1:5" x14ac:dyDescent="0.2">
      <c r="D351" s="26"/>
      <c r="E351" s="26"/>
    </row>
  </sheetData>
  <mergeCells count="9">
    <mergeCell ref="A1:E1"/>
    <mergeCell ref="A2:E2"/>
    <mergeCell ref="A11:B11"/>
    <mergeCell ref="A36:B36"/>
    <mergeCell ref="A40:B40"/>
    <mergeCell ref="A15:B15"/>
    <mergeCell ref="A19:B19"/>
    <mergeCell ref="A27:B27"/>
    <mergeCell ref="A32:B3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zoomScale="91" zoomScaleNormal="200" zoomScalePageLayoutView="200" workbookViewId="0">
      <selection activeCell="C13" sqref="C13"/>
    </sheetView>
  </sheetViews>
  <sheetFormatPr baseColWidth="10" defaultColWidth="8.83203125" defaultRowHeight="15" x14ac:dyDescent="0.2"/>
  <sheetData>
    <row r="1" spans="1:24" ht="16" x14ac:dyDescent="0.2">
      <c r="A1" s="60" t="s">
        <v>0</v>
      </c>
      <c r="B1" s="60"/>
      <c r="C1" s="60"/>
      <c r="D1" s="60"/>
      <c r="E1" s="60"/>
      <c r="F1" s="60"/>
      <c r="G1" s="60"/>
      <c r="H1" s="60"/>
      <c r="I1" s="1"/>
      <c r="J1" s="1"/>
      <c r="K1" s="1"/>
      <c r="L1" s="2"/>
      <c r="M1" s="59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x14ac:dyDescent="0.2">
      <c r="A2" s="56" t="s">
        <v>7</v>
      </c>
      <c r="B2" s="56"/>
      <c r="D2" s="56" t="s">
        <v>25</v>
      </c>
      <c r="E2" s="56"/>
      <c r="G2" s="56" t="s">
        <v>55</v>
      </c>
      <c r="H2" s="56"/>
      <c r="I2" s="3"/>
      <c r="J2" s="56" t="s">
        <v>10</v>
      </c>
      <c r="K2" s="56"/>
      <c r="L2" s="4"/>
      <c r="N2" s="56" t="s">
        <v>28</v>
      </c>
      <c r="O2" s="56"/>
      <c r="Q2" s="56"/>
      <c r="R2" s="56"/>
      <c r="T2" s="56"/>
      <c r="U2" s="56"/>
      <c r="W2" s="56"/>
      <c r="X2" s="56"/>
    </row>
    <row r="3" spans="1:24" x14ac:dyDescent="0.2">
      <c r="A3" s="5">
        <v>1033</v>
      </c>
      <c r="B3" s="22" t="s">
        <v>18</v>
      </c>
      <c r="D3" s="45">
        <f>'General Ledger'!D28</f>
        <v>667</v>
      </c>
      <c r="E3" s="31" t="str">
        <f>'General Ledger'!A28</f>
        <v>[7]</v>
      </c>
      <c r="G3" s="5" t="s">
        <v>18</v>
      </c>
      <c r="H3">
        <v>2400</v>
      </c>
      <c r="I3" s="3"/>
      <c r="J3" s="5">
        <v>29685</v>
      </c>
      <c r="K3" s="3" t="s">
        <v>18</v>
      </c>
      <c r="L3" s="4"/>
      <c r="N3" s="45" t="str">
        <f>'General Ledger'!A37</f>
        <v>[9]</v>
      </c>
      <c r="O3" s="31">
        <f>'General Ledger'!E38</f>
        <v>215</v>
      </c>
      <c r="P3" s="3"/>
      <c r="Q3" s="5"/>
      <c r="R3" s="6"/>
      <c r="T3" s="5"/>
      <c r="U3" s="23"/>
      <c r="W3" s="5"/>
    </row>
    <row r="4" spans="1:24" x14ac:dyDescent="0.2">
      <c r="A4" s="7">
        <f>'General Ledger'!D4</f>
        <v>17836</v>
      </c>
      <c r="B4" s="20" t="str">
        <f>'General Ledger'!A4</f>
        <v>[1]</v>
      </c>
      <c r="D4" s="7">
        <f>D3</f>
        <v>667</v>
      </c>
      <c r="E4" s="20" t="s">
        <v>30</v>
      </c>
      <c r="G4" s="7">
        <f>'General Ledger'!D16</f>
        <v>304</v>
      </c>
      <c r="H4" s="3" t="str">
        <f>'General Ledger'!A16</f>
        <v>[4]</v>
      </c>
      <c r="I4" s="3"/>
      <c r="J4" s="7">
        <f>'General Ledger'!D5</f>
        <v>30910</v>
      </c>
      <c r="K4" s="3" t="str">
        <f>'General Ledger'!A4</f>
        <v>[1]</v>
      </c>
      <c r="L4" s="4"/>
      <c r="N4" s="7" t="s">
        <v>30</v>
      </c>
      <c r="O4" s="20">
        <f>O3</f>
        <v>215</v>
      </c>
      <c r="Q4" s="7"/>
      <c r="R4" s="20"/>
      <c r="T4" s="7"/>
      <c r="U4" s="21"/>
      <c r="W4" s="7"/>
    </row>
    <row r="5" spans="1:24" x14ac:dyDescent="0.2">
      <c r="A5" s="7">
        <f>'General Ledger'!D24</f>
        <v>261</v>
      </c>
      <c r="B5" s="20" t="str">
        <f>'General Ledger'!A24</f>
        <v>[6]</v>
      </c>
      <c r="D5" s="7"/>
      <c r="G5" s="7" t="str">
        <f>'General Ledger'!A20</f>
        <v>[5]</v>
      </c>
      <c r="H5" s="3">
        <f>'General Ledger'!E21</f>
        <v>261</v>
      </c>
      <c r="I5" s="3"/>
      <c r="J5" s="7" t="str">
        <f>'General Ledger'!A8</f>
        <v>[2]</v>
      </c>
      <c r="K5" s="20">
        <f>'General Ledger'!E9</f>
        <v>835</v>
      </c>
      <c r="L5" s="4"/>
      <c r="N5" s="7"/>
      <c r="Q5" s="7"/>
      <c r="T5" s="7"/>
      <c r="W5" s="7"/>
    </row>
    <row r="6" spans="1:24" x14ac:dyDescent="0.2">
      <c r="A6" s="34">
        <f>K13</f>
        <v>29393</v>
      </c>
      <c r="B6" s="33" t="s">
        <v>48</v>
      </c>
      <c r="D6" s="7"/>
      <c r="G6" s="34">
        <f>'General Ledger'!D33</f>
        <v>2036</v>
      </c>
      <c r="H6" s="33" t="str">
        <f>'General Ledger'!A33</f>
        <v>[8]</v>
      </c>
      <c r="I6" s="3"/>
      <c r="J6" s="7" t="str">
        <f>'General Ledger'!A12</f>
        <v>[3]</v>
      </c>
      <c r="K6" s="3">
        <f>'General Ledger'!E13</f>
        <v>25</v>
      </c>
      <c r="L6" s="4"/>
      <c r="N6" s="7"/>
      <c r="Q6" s="7"/>
      <c r="T6" s="7"/>
      <c r="W6" s="7"/>
    </row>
    <row r="7" spans="1:24" x14ac:dyDescent="0.2">
      <c r="A7" s="7">
        <f>SUM(A3:A6)</f>
        <v>48523</v>
      </c>
      <c r="B7" t="s">
        <v>30</v>
      </c>
      <c r="G7" s="7" t="s">
        <v>31</v>
      </c>
      <c r="H7" s="21">
        <f>H3-G4+H5-G6</f>
        <v>321</v>
      </c>
      <c r="I7" s="3"/>
      <c r="J7" s="7" t="str">
        <f>'General Ledger'!A16</f>
        <v>[4]</v>
      </c>
      <c r="K7" s="3">
        <f>'General Ledger'!E17</f>
        <v>304</v>
      </c>
      <c r="L7" s="4"/>
    </row>
    <row r="8" spans="1:24" x14ac:dyDescent="0.2">
      <c r="A8" s="7"/>
      <c r="D8" s="56"/>
      <c r="E8" s="56"/>
      <c r="G8" s="7" t="s">
        <v>54</v>
      </c>
      <c r="H8" s="43">
        <f>H9-H7</f>
        <v>1109.8499999999999</v>
      </c>
      <c r="I8" s="3"/>
      <c r="J8" s="7">
        <f>'General Ledger'!D20</f>
        <v>261</v>
      </c>
      <c r="K8" s="20" t="str">
        <f>'General Ledger'!A20</f>
        <v>[5]</v>
      </c>
      <c r="L8" s="4"/>
      <c r="N8" s="56"/>
      <c r="O8" s="56"/>
      <c r="Q8" s="56"/>
      <c r="R8" s="56"/>
      <c r="T8" s="56"/>
      <c r="U8" s="56"/>
      <c r="W8" s="56"/>
      <c r="X8" s="56"/>
    </row>
    <row r="9" spans="1:24" x14ac:dyDescent="0.2">
      <c r="A9" s="7"/>
      <c r="D9" s="5"/>
      <c r="E9" s="6"/>
      <c r="F9" s="3"/>
      <c r="G9" s="5" t="s">
        <v>30</v>
      </c>
      <c r="H9" s="23">
        <f>'General Ledger'!F59</f>
        <v>1430.85</v>
      </c>
      <c r="I9" s="3"/>
      <c r="J9" s="7" t="str">
        <f>'General Ledger'!A24</f>
        <v>[6]</v>
      </c>
      <c r="K9" s="3">
        <f>'General Ledger'!E25</f>
        <v>261</v>
      </c>
      <c r="L9" s="4"/>
      <c r="N9" s="5"/>
      <c r="Q9" s="5"/>
      <c r="T9" s="5"/>
      <c r="W9" s="5"/>
    </row>
    <row r="10" spans="1:24" x14ac:dyDescent="0.2">
      <c r="A10" s="7"/>
      <c r="D10" s="7"/>
      <c r="E10" s="20"/>
      <c r="F10" s="3"/>
      <c r="G10" s="7"/>
      <c r="H10" s="10"/>
      <c r="I10" s="3"/>
      <c r="J10" s="7" t="str">
        <f>'General Ledger'!A28</f>
        <v>[7]</v>
      </c>
      <c r="K10" s="3">
        <f>'General Ledger'!E29</f>
        <v>667</v>
      </c>
      <c r="L10" s="4"/>
      <c r="N10" s="7"/>
      <c r="Q10" s="7"/>
      <c r="T10" s="7"/>
      <c r="W10" s="7"/>
    </row>
    <row r="11" spans="1:24" x14ac:dyDescent="0.2">
      <c r="A11" s="7"/>
      <c r="D11" s="7"/>
      <c r="E11" s="20"/>
      <c r="F11" s="3"/>
      <c r="G11" s="16">
        <f>J14-H9</f>
        <v>25904.15</v>
      </c>
      <c r="H11" s="21" t="s">
        <v>56</v>
      </c>
      <c r="I11" s="3"/>
      <c r="J11" s="34" t="str">
        <f>'General Ledger'!A33</f>
        <v>[8]</v>
      </c>
      <c r="K11" s="33">
        <f>'General Ledger'!E34</f>
        <v>2036</v>
      </c>
      <c r="L11" s="4"/>
      <c r="N11" s="7"/>
      <c r="Q11" s="7"/>
      <c r="T11" s="7"/>
      <c r="W11" s="7"/>
    </row>
    <row r="12" spans="1:24" x14ac:dyDescent="0.2">
      <c r="A12" s="7"/>
      <c r="D12" s="7"/>
      <c r="E12" s="20"/>
      <c r="F12" s="3"/>
      <c r="G12" s="7"/>
      <c r="H12" s="3"/>
      <c r="I12" s="3"/>
      <c r="J12" s="7">
        <f>J3+J4-SUM(K5:K7)+J8-SUM(K9:K11)</f>
        <v>56728</v>
      </c>
      <c r="K12" s="3" t="s">
        <v>31</v>
      </c>
      <c r="L12" s="4"/>
      <c r="N12" s="7"/>
      <c r="Q12" s="7"/>
      <c r="T12" s="7"/>
      <c r="W12" s="7"/>
    </row>
    <row r="13" spans="1:24" x14ac:dyDescent="0.2">
      <c r="A13" s="7"/>
      <c r="D13" s="5"/>
      <c r="E13" s="22"/>
      <c r="H13" s="3"/>
      <c r="I13" s="3"/>
      <c r="J13" s="50" t="s">
        <v>32</v>
      </c>
      <c r="K13" s="51">
        <f>J12-J14</f>
        <v>29393</v>
      </c>
      <c r="L13" s="4"/>
    </row>
    <row r="14" spans="1:24" x14ac:dyDescent="0.2">
      <c r="A14" s="11"/>
      <c r="B14" s="12"/>
      <c r="D14" s="41"/>
      <c r="E14" s="43"/>
      <c r="G14" s="56" t="s">
        <v>51</v>
      </c>
      <c r="H14" s="56"/>
      <c r="I14" s="3"/>
      <c r="J14" s="12">
        <v>27335</v>
      </c>
      <c r="K14" s="35" t="s">
        <v>30</v>
      </c>
      <c r="L14" s="4"/>
      <c r="N14" s="56"/>
      <c r="O14" s="56"/>
      <c r="Q14" s="56"/>
      <c r="R14" s="56"/>
      <c r="T14" s="56"/>
      <c r="U14" s="56"/>
      <c r="W14" s="56"/>
      <c r="X14" s="56"/>
    </row>
    <row r="15" spans="1:24" x14ac:dyDescent="0.2">
      <c r="A15" s="7"/>
      <c r="D15" s="16"/>
      <c r="E15" s="42"/>
      <c r="G15" s="46">
        <f>'General Ledger'!D45</f>
        <v>10.005000000000001</v>
      </c>
      <c r="H15" s="48" t="str">
        <f>'General Ledger'!A45</f>
        <v>[11]</v>
      </c>
      <c r="I15" s="3"/>
      <c r="J15" s="7"/>
      <c r="K15" s="20"/>
      <c r="L15" s="4"/>
      <c r="N15" s="5"/>
      <c r="O15" s="6"/>
      <c r="Q15" s="5"/>
      <c r="R15" s="23"/>
      <c r="T15" s="5"/>
      <c r="W15" s="5"/>
    </row>
    <row r="16" spans="1:24" x14ac:dyDescent="0.2">
      <c r="A16" s="7"/>
      <c r="D16" s="7"/>
      <c r="E16" s="20"/>
      <c r="G16" s="16">
        <f>G15</f>
        <v>10.005000000000001</v>
      </c>
      <c r="H16" s="20" t="s">
        <v>30</v>
      </c>
      <c r="I16" s="3"/>
      <c r="J16" s="7"/>
      <c r="K16" s="3"/>
      <c r="L16" s="4"/>
      <c r="N16" s="7"/>
      <c r="O16" s="20"/>
      <c r="Q16" s="7"/>
      <c r="R16" s="21"/>
      <c r="T16" s="7"/>
      <c r="W16" s="7"/>
    </row>
    <row r="17" spans="1:24" x14ac:dyDescent="0.2">
      <c r="A17" s="7"/>
      <c r="D17" s="7"/>
      <c r="E17" s="20"/>
      <c r="G17" s="7"/>
      <c r="H17" s="3"/>
      <c r="I17" s="3"/>
      <c r="J17" s="7"/>
      <c r="K17" s="3"/>
      <c r="L17" s="4"/>
      <c r="N17" s="7"/>
      <c r="Q17" s="7"/>
      <c r="T17" s="7"/>
      <c r="W17" s="7"/>
    </row>
    <row r="18" spans="1:24" x14ac:dyDescent="0.2">
      <c r="A18" s="7"/>
      <c r="D18" s="7"/>
      <c r="G18" s="7"/>
      <c r="H18" s="3"/>
      <c r="I18" s="3"/>
      <c r="J18" s="7"/>
      <c r="K18" s="3"/>
      <c r="L18" s="4"/>
      <c r="N18" s="7"/>
      <c r="Q18" s="7"/>
      <c r="T18" s="7"/>
      <c r="W18" s="7"/>
    </row>
    <row r="19" spans="1:24" x14ac:dyDescent="0.2">
      <c r="A19" s="7"/>
      <c r="B19" s="3"/>
      <c r="H19" s="3"/>
      <c r="I19" s="3"/>
      <c r="J19" s="3"/>
      <c r="K19" s="3"/>
      <c r="L19" s="4"/>
    </row>
    <row r="20" spans="1:24" ht="16" thickBot="1" x14ac:dyDescent="0.25">
      <c r="A20" s="13"/>
      <c r="B20" s="19"/>
      <c r="C20" s="3"/>
      <c r="D20" s="3"/>
      <c r="E20" s="3"/>
      <c r="F20" s="3"/>
      <c r="G20" s="3"/>
      <c r="H20" s="3"/>
      <c r="I20" s="3"/>
      <c r="J20" s="3"/>
      <c r="K20" s="3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17" thickTop="1" x14ac:dyDescent="0.2">
      <c r="A21" s="57" t="s">
        <v>2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8"/>
      <c r="M21" s="59" t="s">
        <v>3</v>
      </c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x14ac:dyDescent="0.2">
      <c r="A22" s="56"/>
      <c r="B22" s="56"/>
      <c r="D22" s="56" t="s">
        <v>34</v>
      </c>
      <c r="E22" s="56"/>
      <c r="G22" s="56"/>
      <c r="H22" s="56"/>
      <c r="I22" s="3"/>
      <c r="J22" s="56"/>
      <c r="K22" s="56"/>
      <c r="L22" s="4"/>
      <c r="N22" s="56" t="s">
        <v>9</v>
      </c>
      <c r="O22" s="56"/>
      <c r="Q22" s="56" t="s">
        <v>12</v>
      </c>
      <c r="R22" s="56"/>
      <c r="T22" s="56" t="s">
        <v>15</v>
      </c>
      <c r="U22" s="56"/>
      <c r="W22" s="56"/>
      <c r="X22" s="56"/>
    </row>
    <row r="23" spans="1:24" x14ac:dyDescent="0.2">
      <c r="A23" s="46"/>
      <c r="B23" s="31"/>
      <c r="D23" s="46">
        <f>H8</f>
        <v>1109.8499999999999</v>
      </c>
      <c r="E23" t="str">
        <f>'General Ledger'!A50</f>
        <v>[12]</v>
      </c>
      <c r="G23" s="5"/>
      <c r="H23" s="3"/>
      <c r="I23" s="3"/>
      <c r="J23" s="5"/>
      <c r="K23" s="3"/>
      <c r="L23" s="4"/>
      <c r="N23" s="45" t="str">
        <f>'General Ledger'!A4</f>
        <v>[1]</v>
      </c>
      <c r="O23" s="31">
        <f>'General Ledger'!E6</f>
        <v>48746</v>
      </c>
      <c r="Q23" s="45">
        <f>'General Ledger'!D8</f>
        <v>835</v>
      </c>
      <c r="R23" s="31" t="str">
        <f>'General Ledger'!A8</f>
        <v>[2]</v>
      </c>
      <c r="T23" s="5">
        <f>'General Ledger'!D12</f>
        <v>25</v>
      </c>
      <c r="U23" t="str">
        <f>'General Ledger'!A12</f>
        <v>[3]</v>
      </c>
      <c r="W23" s="5"/>
      <c r="X23" s="9">
        <f>O24+O30-Q24-T25</f>
        <v>47681.004999999997</v>
      </c>
    </row>
    <row r="24" spans="1:24" x14ac:dyDescent="0.2">
      <c r="A24" s="16"/>
      <c r="B24" s="3"/>
      <c r="D24" s="16">
        <f>D23</f>
        <v>1109.8499999999999</v>
      </c>
      <c r="E24" s="22" t="s">
        <v>30</v>
      </c>
      <c r="G24" s="7"/>
      <c r="H24" s="20"/>
      <c r="I24" s="3"/>
      <c r="J24" s="16"/>
      <c r="K24" s="3"/>
      <c r="L24" s="4"/>
      <c r="N24" s="7" t="s">
        <v>30</v>
      </c>
      <c r="O24" s="3">
        <f>O23</f>
        <v>48746</v>
      </c>
      <c r="Q24" s="7">
        <f>Q23</f>
        <v>835</v>
      </c>
      <c r="R24" s="3" t="s">
        <v>30</v>
      </c>
      <c r="T24" s="34">
        <f>'General Ledger'!D37</f>
        <v>215</v>
      </c>
      <c r="U24" s="33" t="str">
        <f>'General Ledger'!A37</f>
        <v>[9]</v>
      </c>
      <c r="W24" s="17">
        <f>D24</f>
        <v>1109.8499999999999</v>
      </c>
      <c r="X24" s="8"/>
    </row>
    <row r="25" spans="1:24" x14ac:dyDescent="0.2">
      <c r="A25" s="7"/>
      <c r="B25" s="20"/>
      <c r="D25" s="7"/>
      <c r="E25" s="20"/>
      <c r="G25" s="7"/>
      <c r="H25" s="3"/>
      <c r="I25" s="3"/>
      <c r="J25" s="7"/>
      <c r="K25" s="20"/>
      <c r="L25" s="4"/>
      <c r="N25" s="7"/>
      <c r="O25" s="20"/>
      <c r="Q25" s="7"/>
      <c r="R25" s="20"/>
      <c r="T25" s="7">
        <f>T23+T24</f>
        <v>240</v>
      </c>
      <c r="U25" s="20" t="s">
        <v>30</v>
      </c>
      <c r="W25" s="7"/>
      <c r="X25" s="9">
        <f>X23-W24</f>
        <v>46571.154999999999</v>
      </c>
    </row>
    <row r="26" spans="1:24" x14ac:dyDescent="0.2">
      <c r="A26" s="7"/>
      <c r="D26" s="7"/>
      <c r="G26" s="7"/>
      <c r="H26" s="3"/>
      <c r="I26" s="3"/>
      <c r="J26" s="16"/>
      <c r="K26" s="3"/>
      <c r="L26" s="4"/>
      <c r="N26" s="7"/>
      <c r="Q26" s="7"/>
      <c r="R26" s="3"/>
      <c r="T26" s="7"/>
      <c r="U26" s="3"/>
      <c r="W26" s="17">
        <f>X25*0.25</f>
        <v>11642.78875</v>
      </c>
      <c r="X26" s="8"/>
    </row>
    <row r="27" spans="1:24" x14ac:dyDescent="0.2">
      <c r="H27" s="3"/>
      <c r="I27" s="3"/>
      <c r="J27" s="7"/>
      <c r="K27" s="10"/>
      <c r="L27" s="4"/>
      <c r="Q27" s="3"/>
      <c r="R27" s="3"/>
      <c r="T27" s="3"/>
      <c r="U27" s="3"/>
      <c r="W27" s="7"/>
      <c r="X27" s="9">
        <f>X25-W26</f>
        <v>34928.366249999999</v>
      </c>
    </row>
    <row r="28" spans="1:24" x14ac:dyDescent="0.2">
      <c r="A28" s="56"/>
      <c r="B28" s="56"/>
      <c r="D28" s="56"/>
      <c r="E28" s="56"/>
      <c r="G28" s="56"/>
      <c r="H28" s="56"/>
      <c r="I28" s="3"/>
      <c r="J28" s="11"/>
      <c r="K28" s="24"/>
      <c r="L28" s="4"/>
      <c r="N28" s="56" t="s">
        <v>52</v>
      </c>
      <c r="O28" s="56"/>
      <c r="Q28" s="56"/>
      <c r="R28" s="56"/>
      <c r="T28" s="56"/>
      <c r="U28" s="56"/>
      <c r="W28" s="17"/>
      <c r="X28" s="8"/>
    </row>
    <row r="29" spans="1:24" x14ac:dyDescent="0.2">
      <c r="A29" s="5"/>
      <c r="D29" s="5"/>
      <c r="G29" s="18"/>
      <c r="H29" s="3"/>
      <c r="I29" s="3"/>
      <c r="J29" s="7"/>
      <c r="K29" s="3"/>
      <c r="L29" s="4"/>
      <c r="N29" s="45" t="str">
        <f>H15</f>
        <v>[11]</v>
      </c>
      <c r="O29" s="49">
        <f>G15</f>
        <v>10.005000000000001</v>
      </c>
      <c r="Q29" s="5"/>
      <c r="T29" s="5"/>
      <c r="W29" s="7"/>
    </row>
    <row r="30" spans="1:24" x14ac:dyDescent="0.2">
      <c r="A30" s="7"/>
      <c r="B30" s="20"/>
      <c r="D30" s="7"/>
      <c r="E30" s="3"/>
      <c r="G30" s="7"/>
      <c r="H30" s="10"/>
      <c r="I30" s="3"/>
      <c r="J30" s="7"/>
      <c r="K30" s="3"/>
      <c r="L30" s="4"/>
      <c r="N30" s="7" t="s">
        <v>30</v>
      </c>
      <c r="O30" s="10">
        <f>O29</f>
        <v>10.005000000000001</v>
      </c>
      <c r="Q30" s="7"/>
      <c r="R30" s="3"/>
      <c r="T30" s="7"/>
    </row>
    <row r="31" spans="1:24" x14ac:dyDescent="0.2">
      <c r="A31" s="7"/>
      <c r="D31" s="7"/>
      <c r="E31" s="20"/>
      <c r="G31" s="7"/>
      <c r="H31" s="20"/>
      <c r="I31" s="3"/>
      <c r="J31" s="7"/>
      <c r="K31" s="3"/>
      <c r="L31" s="4"/>
      <c r="N31" s="7"/>
      <c r="O31" s="20"/>
      <c r="Q31" s="7"/>
      <c r="R31" s="20"/>
      <c r="T31" s="7"/>
      <c r="W31" s="55"/>
      <c r="X31" s="55"/>
    </row>
    <row r="32" spans="1:24" x14ac:dyDescent="0.2">
      <c r="A32" s="7"/>
      <c r="D32" s="7"/>
      <c r="G32" s="7"/>
      <c r="H32" s="3"/>
      <c r="I32" s="3"/>
      <c r="J32" s="7"/>
      <c r="K32" s="3"/>
      <c r="L32" s="4"/>
      <c r="N32" s="7"/>
      <c r="O32" s="20"/>
      <c r="Q32" s="7"/>
      <c r="T32" s="7"/>
      <c r="W32" s="3"/>
      <c r="X32" s="3"/>
    </row>
    <row r="33" spans="8:23" x14ac:dyDescent="0.2">
      <c r="H33" s="3"/>
      <c r="I33" s="3"/>
      <c r="J33" s="3"/>
      <c r="K33" s="3"/>
      <c r="L33" s="4"/>
      <c r="W33" s="3"/>
    </row>
    <row r="34" spans="8:23" x14ac:dyDescent="0.2">
      <c r="H34" s="3"/>
      <c r="I34" s="3"/>
      <c r="J34" s="3"/>
      <c r="K34" s="3"/>
      <c r="L34" s="4"/>
      <c r="W34" s="3"/>
    </row>
  </sheetData>
  <mergeCells count="37">
    <mergeCell ref="W8:X8"/>
    <mergeCell ref="A1:H1"/>
    <mergeCell ref="M1:X1"/>
    <mergeCell ref="A2:B2"/>
    <mergeCell ref="D2:E2"/>
    <mergeCell ref="G2:H2"/>
    <mergeCell ref="J2:K2"/>
    <mergeCell ref="N2:O2"/>
    <mergeCell ref="Q2:R2"/>
    <mergeCell ref="T2:U2"/>
    <mergeCell ref="W2:X2"/>
    <mergeCell ref="D8:E8"/>
    <mergeCell ref="N8:O8"/>
    <mergeCell ref="Q8:R8"/>
    <mergeCell ref="T8:U8"/>
    <mergeCell ref="W14:X14"/>
    <mergeCell ref="A21:L21"/>
    <mergeCell ref="M21:X21"/>
    <mergeCell ref="A22:B22"/>
    <mergeCell ref="D22:E22"/>
    <mergeCell ref="G22:H22"/>
    <mergeCell ref="J22:K22"/>
    <mergeCell ref="N22:O22"/>
    <mergeCell ref="Q22:R22"/>
    <mergeCell ref="T22:U22"/>
    <mergeCell ref="G14:H14"/>
    <mergeCell ref="N14:O14"/>
    <mergeCell ref="Q14:R14"/>
    <mergeCell ref="T14:U14"/>
    <mergeCell ref="W31:X31"/>
    <mergeCell ref="W22:X22"/>
    <mergeCell ref="A28:B28"/>
    <mergeCell ref="D28:E28"/>
    <mergeCell ref="G28:H28"/>
    <mergeCell ref="N28:O28"/>
    <mergeCell ref="Q28:R28"/>
    <mergeCell ref="T28:U2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</vt:lpstr>
      <vt:lpstr>T-Accounts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Microsoft Office User</cp:lastModifiedBy>
  <dcterms:created xsi:type="dcterms:W3CDTF">2012-05-04T03:03:45Z</dcterms:created>
  <dcterms:modified xsi:type="dcterms:W3CDTF">2020-10-14T13:08:20Z</dcterms:modified>
</cp:coreProperties>
</file>
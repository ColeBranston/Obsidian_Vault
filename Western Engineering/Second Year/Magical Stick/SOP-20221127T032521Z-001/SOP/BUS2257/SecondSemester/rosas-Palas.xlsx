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8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acquelineyan/Desktop/"/>
    </mc:Choice>
  </mc:AlternateContent>
  <bookViews>
    <workbookView xWindow="13280" yWindow="460" windowWidth="15540" windowHeight="17140" tabRatio="606" firstSheet="2" activeTab="9"/>
  </bookViews>
  <sheets>
    <sheet name="Investments" sheetId="8" r:id="rId1"/>
    <sheet name="VC" sheetId="7" r:id="rId2"/>
    <sheet name="FC" sheetId="6" r:id="rId3"/>
    <sheet name="IS" sheetId="5" r:id="rId4"/>
    <sheet name="CB Yr.1" sheetId="4" r:id="rId5"/>
    <sheet name="CB Yr. 2" sheetId="1" r:id="rId6"/>
    <sheet name="CB Yr. 3" sheetId="2" r:id="rId7"/>
    <sheet name="BS" sheetId="3" r:id="rId8"/>
    <sheet name="Break-Even" sheetId="9" r:id="rId9"/>
    <sheet name="ROI" sheetId="10" r:id="rId10"/>
  </sheets>
  <definedNames>
    <definedName name="_xlnm.Print_Area" localSheetId="8">'Break-Even'!$A$1:$F$21</definedName>
    <definedName name="_xlnm.Print_Area" localSheetId="7">BS!$A$1:$I$29</definedName>
    <definedName name="_xlnm.Print_Area" localSheetId="5">'CB Yr. 2'!$A$1:$P$30</definedName>
    <definedName name="_xlnm.Print_Area" localSheetId="6">'CB Yr. 3'!$A$1:$P$30</definedName>
    <definedName name="_xlnm.Print_Area" localSheetId="4">'CB Yr.1'!$A$1:$P$38</definedName>
    <definedName name="_xlnm.Print_Area" localSheetId="2">FC!$A$1:$F$39</definedName>
    <definedName name="_xlnm.Print_Area" localSheetId="0">Investments!$A$1:$D$16</definedName>
    <definedName name="_xlnm.Print_Area" localSheetId="3">IS!$A$1:$F$23</definedName>
    <definedName name="_xlnm.Print_Area" localSheetId="9">ROI!$A$1:$F$15</definedName>
    <definedName name="_xlnm.Print_Area" localSheetId="1">VC!$A$1:$D$17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3" i="10" l="1"/>
  <c r="C19" i="9"/>
  <c r="D21" i="5"/>
  <c r="C21" i="5"/>
  <c r="C9" i="4"/>
  <c r="D9" i="5"/>
  <c r="D19" i="9"/>
  <c r="D20" i="9"/>
  <c r="E9" i="5"/>
  <c r="E19" i="9"/>
  <c r="E20" i="9"/>
  <c r="C9" i="5"/>
  <c r="C20" i="9"/>
  <c r="D21" i="3"/>
  <c r="D36" i="6"/>
  <c r="D19" i="5"/>
  <c r="D12" i="5"/>
  <c r="D13" i="5"/>
  <c r="D14" i="5"/>
  <c r="D24" i="6"/>
  <c r="D25" i="6"/>
  <c r="D33" i="6"/>
  <c r="D16" i="5"/>
  <c r="D18" i="5"/>
  <c r="D20" i="5"/>
  <c r="D22" i="5"/>
  <c r="D12" i="10"/>
  <c r="D14" i="10"/>
  <c r="F21" i="3"/>
  <c r="E36" i="6"/>
  <c r="E19" i="5"/>
  <c r="E12" i="5"/>
  <c r="E13" i="5"/>
  <c r="E14" i="5"/>
  <c r="E24" i="6"/>
  <c r="E25" i="6"/>
  <c r="E33" i="6"/>
  <c r="E16" i="5"/>
  <c r="E18" i="5"/>
  <c r="E20" i="5"/>
  <c r="E21" i="5"/>
  <c r="E22" i="5"/>
  <c r="E12" i="10"/>
  <c r="E14" i="10"/>
  <c r="C12" i="5"/>
  <c r="C13" i="5"/>
  <c r="C14" i="5"/>
  <c r="C24" i="6"/>
  <c r="C25" i="6"/>
  <c r="C33" i="6"/>
  <c r="C16" i="5"/>
  <c r="C18" i="5"/>
  <c r="C20" i="5"/>
  <c r="C22" i="5"/>
  <c r="C12" i="10"/>
  <c r="C14" i="10"/>
  <c r="D13" i="10"/>
  <c r="E13" i="10"/>
  <c r="D7" i="10"/>
  <c r="D9" i="10"/>
  <c r="E7" i="10"/>
  <c r="E9" i="10"/>
  <c r="C7" i="10"/>
  <c r="C9" i="10"/>
  <c r="D8" i="10"/>
  <c r="E8" i="10"/>
  <c r="C8" i="10"/>
  <c r="D17" i="9"/>
  <c r="E17" i="9"/>
  <c r="C17" i="9"/>
  <c r="D16" i="9"/>
  <c r="E16" i="9"/>
  <c r="C16" i="9"/>
  <c r="D15" i="9"/>
  <c r="E15" i="9"/>
  <c r="C15" i="9"/>
  <c r="D38" i="6"/>
  <c r="D7" i="9"/>
  <c r="D9" i="9"/>
  <c r="D11" i="9"/>
  <c r="D12" i="9"/>
  <c r="E38" i="6"/>
  <c r="E7" i="9"/>
  <c r="E9" i="9"/>
  <c r="E11" i="9"/>
  <c r="E12" i="9"/>
  <c r="C11" i="9"/>
  <c r="C38" i="6"/>
  <c r="C7" i="9"/>
  <c r="C9" i="9"/>
  <c r="C12" i="9"/>
  <c r="D8" i="9"/>
  <c r="E8" i="9"/>
  <c r="C8" i="9"/>
  <c r="D25" i="3"/>
  <c r="F25" i="3"/>
  <c r="H25" i="3"/>
  <c r="H26" i="3"/>
  <c r="H20" i="3"/>
  <c r="N25" i="2"/>
  <c r="H21" i="3"/>
  <c r="H19" i="3"/>
  <c r="H22" i="3"/>
  <c r="H28" i="3"/>
  <c r="H24" i="3"/>
  <c r="H18" i="3"/>
  <c r="N9" i="4"/>
  <c r="C13" i="1"/>
  <c r="C9" i="1"/>
  <c r="D13" i="1"/>
  <c r="D9" i="1"/>
  <c r="E13" i="1"/>
  <c r="E9" i="1"/>
  <c r="F13" i="1"/>
  <c r="F9" i="1"/>
  <c r="G13" i="1"/>
  <c r="G9" i="1"/>
  <c r="H13" i="1"/>
  <c r="H9" i="1"/>
  <c r="I13" i="1"/>
  <c r="I9" i="1"/>
  <c r="J13" i="1"/>
  <c r="J9" i="1"/>
  <c r="K13" i="1"/>
  <c r="K9" i="1"/>
  <c r="L13" i="1"/>
  <c r="L9" i="1"/>
  <c r="M13" i="1"/>
  <c r="M9" i="1"/>
  <c r="N13" i="1"/>
  <c r="O13" i="1"/>
  <c r="C12" i="1"/>
  <c r="D12" i="1"/>
  <c r="E12" i="1"/>
  <c r="F12" i="1"/>
  <c r="G12" i="1"/>
  <c r="H12" i="1"/>
  <c r="I12" i="1"/>
  <c r="J12" i="1"/>
  <c r="K12" i="1"/>
  <c r="L12" i="1"/>
  <c r="M12" i="1"/>
  <c r="N9" i="1"/>
  <c r="N12" i="1"/>
  <c r="O12" i="1"/>
  <c r="O14" i="1"/>
  <c r="D24" i="1"/>
  <c r="O24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D23" i="1"/>
  <c r="O23" i="1"/>
  <c r="O26" i="1"/>
  <c r="O27" i="1"/>
  <c r="C12" i="4"/>
  <c r="D9" i="4"/>
  <c r="D12" i="4"/>
  <c r="E9" i="4"/>
  <c r="E12" i="4"/>
  <c r="F9" i="4"/>
  <c r="F12" i="4"/>
  <c r="G9" i="4"/>
  <c r="G12" i="4"/>
  <c r="H9" i="4"/>
  <c r="H12" i="4"/>
  <c r="I9" i="4"/>
  <c r="I12" i="4"/>
  <c r="J9" i="4"/>
  <c r="J12" i="4"/>
  <c r="K9" i="4"/>
  <c r="K12" i="4"/>
  <c r="L9" i="4"/>
  <c r="L12" i="4"/>
  <c r="M9" i="4"/>
  <c r="M12" i="4"/>
  <c r="N12" i="4"/>
  <c r="O12" i="4"/>
  <c r="D13" i="4"/>
  <c r="E13" i="4"/>
  <c r="F13" i="4"/>
  <c r="G13" i="4"/>
  <c r="H13" i="4"/>
  <c r="I13" i="4"/>
  <c r="J13" i="4"/>
  <c r="K13" i="4"/>
  <c r="L13" i="4"/>
  <c r="M13" i="4"/>
  <c r="N13" i="4"/>
  <c r="O13" i="4"/>
  <c r="O16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O33" i="4"/>
  <c r="O34" i="4"/>
  <c r="O35" i="4"/>
  <c r="O37" i="4"/>
  <c r="D8" i="3"/>
  <c r="O28" i="1"/>
  <c r="O29" i="1"/>
  <c r="F8" i="3"/>
  <c r="O28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D24" i="2"/>
  <c r="O24" i="2"/>
  <c r="O25" i="2"/>
  <c r="C9" i="2"/>
  <c r="C18" i="2"/>
  <c r="D9" i="2"/>
  <c r="D18" i="2"/>
  <c r="E9" i="2"/>
  <c r="E18" i="2"/>
  <c r="F9" i="2"/>
  <c r="F18" i="2"/>
  <c r="G9" i="2"/>
  <c r="G18" i="2"/>
  <c r="H9" i="2"/>
  <c r="H18" i="2"/>
  <c r="I9" i="2"/>
  <c r="I18" i="2"/>
  <c r="J9" i="2"/>
  <c r="J18" i="2"/>
  <c r="K9" i="2"/>
  <c r="K18" i="2"/>
  <c r="L9" i="2"/>
  <c r="L18" i="2"/>
  <c r="M9" i="2"/>
  <c r="M18" i="2"/>
  <c r="N9" i="2"/>
  <c r="N18" i="2"/>
  <c r="O18" i="2"/>
  <c r="D23" i="2"/>
  <c r="O23" i="2"/>
  <c r="O26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O14" i="2"/>
  <c r="O27" i="2"/>
  <c r="O29" i="2"/>
  <c r="H8" i="3"/>
  <c r="H9" i="3"/>
  <c r="H15" i="3"/>
  <c r="H14" i="3"/>
  <c r="H13" i="3"/>
  <c r="H12" i="3"/>
  <c r="G12" i="3"/>
  <c r="G11" i="3"/>
  <c r="H10" i="3"/>
  <c r="C28" i="2"/>
  <c r="C26" i="2"/>
  <c r="C14" i="2"/>
  <c r="C27" i="2"/>
  <c r="C29" i="2"/>
  <c r="D28" i="2"/>
  <c r="D26" i="2"/>
  <c r="D14" i="2"/>
  <c r="D27" i="2"/>
  <c r="D29" i="2"/>
  <c r="E28" i="2"/>
  <c r="E26" i="2"/>
  <c r="E14" i="2"/>
  <c r="E27" i="2"/>
  <c r="E29" i="2"/>
  <c r="F28" i="2"/>
  <c r="F26" i="2"/>
  <c r="F14" i="2"/>
  <c r="F27" i="2"/>
  <c r="F29" i="2"/>
  <c r="G28" i="2"/>
  <c r="G26" i="2"/>
  <c r="G14" i="2"/>
  <c r="G27" i="2"/>
  <c r="G29" i="2"/>
  <c r="H28" i="2"/>
  <c r="H26" i="2"/>
  <c r="H14" i="2"/>
  <c r="H27" i="2"/>
  <c r="H29" i="2"/>
  <c r="I28" i="2"/>
  <c r="I26" i="2"/>
  <c r="I14" i="2"/>
  <c r="I27" i="2"/>
  <c r="I29" i="2"/>
  <c r="J28" i="2"/>
  <c r="J26" i="2"/>
  <c r="J14" i="2"/>
  <c r="J27" i="2"/>
  <c r="J29" i="2"/>
  <c r="K28" i="2"/>
  <c r="K26" i="2"/>
  <c r="K14" i="2"/>
  <c r="K27" i="2"/>
  <c r="K29" i="2"/>
  <c r="L28" i="2"/>
  <c r="L26" i="2"/>
  <c r="L14" i="2"/>
  <c r="L27" i="2"/>
  <c r="L29" i="2"/>
  <c r="M28" i="2"/>
  <c r="M26" i="2"/>
  <c r="M14" i="2"/>
  <c r="M27" i="2"/>
  <c r="M29" i="2"/>
  <c r="N28" i="2"/>
  <c r="N26" i="2"/>
  <c r="N14" i="2"/>
  <c r="N27" i="2"/>
  <c r="N29" i="2"/>
  <c r="O22" i="2"/>
  <c r="C22" i="2"/>
  <c r="O21" i="2"/>
  <c r="E21" i="2"/>
  <c r="F21" i="2"/>
  <c r="G21" i="2"/>
  <c r="H21" i="2"/>
  <c r="I21" i="2"/>
  <c r="J21" i="2"/>
  <c r="K21" i="2"/>
  <c r="L21" i="2"/>
  <c r="M21" i="2"/>
  <c r="N21" i="2"/>
  <c r="D21" i="2"/>
  <c r="O19" i="2"/>
  <c r="D19" i="2"/>
  <c r="E19" i="2"/>
  <c r="F19" i="2"/>
  <c r="G19" i="2"/>
  <c r="H19" i="2"/>
  <c r="I19" i="2"/>
  <c r="J19" i="2"/>
  <c r="K19" i="2"/>
  <c r="L19" i="2"/>
  <c r="M19" i="2"/>
  <c r="N19" i="2"/>
  <c r="C19" i="2"/>
  <c r="O9" i="2"/>
  <c r="F20" i="3"/>
  <c r="F19" i="3"/>
  <c r="F22" i="3"/>
  <c r="F26" i="3"/>
  <c r="F28" i="3"/>
  <c r="F24" i="3"/>
  <c r="F18" i="3"/>
  <c r="F9" i="3"/>
  <c r="F15" i="3"/>
  <c r="F14" i="3"/>
  <c r="F13" i="3"/>
  <c r="F12" i="3"/>
  <c r="E12" i="3"/>
  <c r="E11" i="3"/>
  <c r="F10" i="3"/>
  <c r="O25" i="1"/>
  <c r="D26" i="1"/>
  <c r="D14" i="1"/>
  <c r="D27" i="1"/>
  <c r="C14" i="1"/>
  <c r="C26" i="1"/>
  <c r="C27" i="1"/>
  <c r="C28" i="1"/>
  <c r="C29" i="1"/>
  <c r="D28" i="1"/>
  <c r="D29" i="1"/>
  <c r="E28" i="1"/>
  <c r="E26" i="1"/>
  <c r="E14" i="1"/>
  <c r="E27" i="1"/>
  <c r="E29" i="1"/>
  <c r="F28" i="1"/>
  <c r="F26" i="1"/>
  <c r="F14" i="1"/>
  <c r="F27" i="1"/>
  <c r="F29" i="1"/>
  <c r="G28" i="1"/>
  <c r="G26" i="1"/>
  <c r="G14" i="1"/>
  <c r="G27" i="1"/>
  <c r="G29" i="1"/>
  <c r="H28" i="1"/>
  <c r="H26" i="1"/>
  <c r="H14" i="1"/>
  <c r="H27" i="1"/>
  <c r="H29" i="1"/>
  <c r="I28" i="1"/>
  <c r="I26" i="1"/>
  <c r="I14" i="1"/>
  <c r="I27" i="1"/>
  <c r="I29" i="1"/>
  <c r="J28" i="1"/>
  <c r="J26" i="1"/>
  <c r="J14" i="1"/>
  <c r="J27" i="1"/>
  <c r="J29" i="1"/>
  <c r="K28" i="1"/>
  <c r="K26" i="1"/>
  <c r="K14" i="1"/>
  <c r="K27" i="1"/>
  <c r="K29" i="1"/>
  <c r="L28" i="1"/>
  <c r="L26" i="1"/>
  <c r="L14" i="1"/>
  <c r="L27" i="1"/>
  <c r="L29" i="1"/>
  <c r="M28" i="1"/>
  <c r="M26" i="1"/>
  <c r="M14" i="1"/>
  <c r="M27" i="1"/>
  <c r="M29" i="1"/>
  <c r="N28" i="1"/>
  <c r="N26" i="1"/>
  <c r="N14" i="1"/>
  <c r="N27" i="1"/>
  <c r="N29" i="1"/>
  <c r="C21" i="2"/>
  <c r="N21" i="1"/>
  <c r="E21" i="1"/>
  <c r="F21" i="1"/>
  <c r="G21" i="1"/>
  <c r="H21" i="1"/>
  <c r="I21" i="1"/>
  <c r="J21" i="1"/>
  <c r="K21" i="1"/>
  <c r="L21" i="1"/>
  <c r="M21" i="1"/>
  <c r="D21" i="1"/>
  <c r="O21" i="1"/>
  <c r="O22" i="1"/>
  <c r="O19" i="1"/>
  <c r="D19" i="1"/>
  <c r="E19" i="1"/>
  <c r="F19" i="1"/>
  <c r="G19" i="1"/>
  <c r="H19" i="1"/>
  <c r="I19" i="1"/>
  <c r="J19" i="1"/>
  <c r="K19" i="1"/>
  <c r="L19" i="1"/>
  <c r="M19" i="1"/>
  <c r="N19" i="1"/>
  <c r="C19" i="1"/>
  <c r="O9" i="1"/>
  <c r="D24" i="3"/>
  <c r="D18" i="3"/>
  <c r="D19" i="3"/>
  <c r="D12" i="3"/>
  <c r="C29" i="4"/>
  <c r="F23" i="4"/>
  <c r="C21" i="1"/>
  <c r="C14" i="4"/>
  <c r="C23" i="6"/>
  <c r="C36" i="6"/>
  <c r="D30" i="6"/>
  <c r="E30" i="6"/>
  <c r="C30" i="6"/>
  <c r="D29" i="6"/>
  <c r="E29" i="6"/>
  <c r="C29" i="6"/>
  <c r="C7" i="5"/>
  <c r="I12" i="6"/>
  <c r="D13" i="6"/>
  <c r="D31" i="6"/>
  <c r="D7" i="5"/>
  <c r="C13" i="6"/>
  <c r="E13" i="6"/>
  <c r="E31" i="6"/>
  <c r="E7" i="5"/>
  <c r="C16" i="6"/>
  <c r="C20" i="6"/>
  <c r="N23" i="4"/>
  <c r="C8" i="7"/>
  <c r="C14" i="7"/>
  <c r="C31" i="6"/>
  <c r="C10" i="6"/>
  <c r="C11" i="6"/>
  <c r="C7" i="8"/>
  <c r="C11" i="8"/>
  <c r="C14" i="8"/>
  <c r="C19" i="5"/>
  <c r="D9" i="3"/>
  <c r="C11" i="3"/>
  <c r="C12" i="3"/>
  <c r="D13" i="3"/>
  <c r="D14" i="3"/>
  <c r="D16" i="6"/>
  <c r="D20" i="6"/>
  <c r="I13" i="6"/>
  <c r="D10" i="6"/>
  <c r="D11" i="6"/>
  <c r="E16" i="6"/>
  <c r="E20" i="6"/>
  <c r="I14" i="6"/>
  <c r="E10" i="6"/>
  <c r="E11" i="6"/>
  <c r="C15" i="4"/>
  <c r="N21" i="4"/>
  <c r="N22" i="4"/>
  <c r="N34" i="4"/>
  <c r="C16" i="4"/>
  <c r="C21" i="4"/>
  <c r="C22" i="4"/>
  <c r="C30" i="4"/>
  <c r="C31" i="4"/>
  <c r="C32" i="4"/>
  <c r="C34" i="4"/>
  <c r="C35" i="4"/>
  <c r="C37" i="4"/>
  <c r="D36" i="4"/>
  <c r="D16" i="4"/>
  <c r="D21" i="4"/>
  <c r="D22" i="4"/>
  <c r="D23" i="4"/>
  <c r="D34" i="4"/>
  <c r="D35" i="4"/>
  <c r="D37" i="4"/>
  <c r="E36" i="4"/>
  <c r="E16" i="4"/>
  <c r="E21" i="4"/>
  <c r="E22" i="4"/>
  <c r="E23" i="4"/>
  <c r="E34" i="4"/>
  <c r="E35" i="4"/>
  <c r="E37" i="4"/>
  <c r="F36" i="4"/>
  <c r="F16" i="4"/>
  <c r="F21" i="4"/>
  <c r="F22" i="4"/>
  <c r="F34" i="4"/>
  <c r="F35" i="4"/>
  <c r="F37" i="4"/>
  <c r="G36" i="4"/>
  <c r="G16" i="4"/>
  <c r="G21" i="4"/>
  <c r="G22" i="4"/>
  <c r="G23" i="4"/>
  <c r="G34" i="4"/>
  <c r="G35" i="4"/>
  <c r="G37" i="4"/>
  <c r="H36" i="4"/>
  <c r="H16" i="4"/>
  <c r="H21" i="4"/>
  <c r="H22" i="4"/>
  <c r="H23" i="4"/>
  <c r="H34" i="4"/>
  <c r="H35" i="4"/>
  <c r="H37" i="4"/>
  <c r="I36" i="4"/>
  <c r="I16" i="4"/>
  <c r="I21" i="4"/>
  <c r="I22" i="4"/>
  <c r="I23" i="4"/>
  <c r="I34" i="4"/>
  <c r="I35" i="4"/>
  <c r="I37" i="4"/>
  <c r="J36" i="4"/>
  <c r="J16" i="4"/>
  <c r="J21" i="4"/>
  <c r="J22" i="4"/>
  <c r="J23" i="4"/>
  <c r="J34" i="4"/>
  <c r="J35" i="4"/>
  <c r="J37" i="4"/>
  <c r="K36" i="4"/>
  <c r="K16" i="4"/>
  <c r="K21" i="4"/>
  <c r="K22" i="4"/>
  <c r="K23" i="4"/>
  <c r="K34" i="4"/>
  <c r="K35" i="4"/>
  <c r="K37" i="4"/>
  <c r="L36" i="4"/>
  <c r="L16" i="4"/>
  <c r="L21" i="4"/>
  <c r="L22" i="4"/>
  <c r="L23" i="4"/>
  <c r="L34" i="4"/>
  <c r="L35" i="4"/>
  <c r="L37" i="4"/>
  <c r="M36" i="4"/>
  <c r="M16" i="4"/>
  <c r="M21" i="4"/>
  <c r="M22" i="4"/>
  <c r="M23" i="4"/>
  <c r="M34" i="4"/>
  <c r="M35" i="4"/>
  <c r="M37" i="4"/>
  <c r="N36" i="4"/>
  <c r="O22" i="4"/>
  <c r="O30" i="4"/>
  <c r="O24" i="4"/>
  <c r="C15" i="8"/>
  <c r="O15" i="4"/>
  <c r="O14" i="4"/>
  <c r="N16" i="4"/>
  <c r="O31" i="4"/>
  <c r="O32" i="4"/>
  <c r="O29" i="4"/>
  <c r="O23" i="4"/>
  <c r="O25" i="4"/>
  <c r="O26" i="4"/>
  <c r="O21" i="4"/>
  <c r="O9" i="4"/>
  <c r="C16" i="7"/>
  <c r="N35" i="4"/>
  <c r="N37" i="4"/>
  <c r="D20" i="3"/>
  <c r="D26" i="3"/>
  <c r="D22" i="3"/>
  <c r="D28" i="3"/>
  <c r="D15" i="3"/>
</calcChain>
</file>

<file path=xl/sharedStrings.xml><?xml version="1.0" encoding="utf-8"?>
<sst xmlns="http://schemas.openxmlformats.org/spreadsheetml/2006/main" count="273" uniqueCount="151">
  <si>
    <t>Liquor License</t>
  </si>
  <si>
    <t>Rosa's Palas Franchise</t>
  </si>
  <si>
    <t>Initial Investment Required</t>
  </si>
  <si>
    <t>Total</t>
  </si>
  <si>
    <t>Variable Cost Schedule</t>
  </si>
  <si>
    <t>Fixed Cost Schedule</t>
  </si>
  <si>
    <t>Year 1</t>
  </si>
  <si>
    <t>Year 2</t>
  </si>
  <si>
    <t>Year 3</t>
  </si>
  <si>
    <t>Total Fixed Costs</t>
  </si>
  <si>
    <t>Interest</t>
  </si>
  <si>
    <t>Advertising</t>
  </si>
  <si>
    <t>Rent</t>
  </si>
  <si>
    <t>Utilities</t>
  </si>
  <si>
    <t>Repairs</t>
  </si>
  <si>
    <t>Legal</t>
  </si>
  <si>
    <t>Manager's Salary</t>
  </si>
  <si>
    <t>Sales</t>
  </si>
  <si>
    <t>Net Income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</si>
  <si>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</si>
  <si>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</si>
  <si>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</si>
  <si>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</si>
  <si>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</si>
  <si>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</si>
  <si>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</si>
  <si>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</si>
  <si>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</si>
  <si>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</si>
  <si>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</si>
  <si>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</si>
  <si>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Totals</t>
  </si>
  <si>
    <t>Inflows:</t>
  </si>
  <si>
    <t>Collections</t>
  </si>
  <si>
    <t>Bank Loan</t>
  </si>
  <si>
    <t>Total Inflows</t>
  </si>
  <si>
    <t>Outflows:</t>
  </si>
  <si>
    <t>Variable Costs</t>
  </si>
  <si>
    <t>Fixed Costs</t>
  </si>
  <si>
    <t>Investments</t>
  </si>
  <si>
    <t>Loan Repayment</t>
  </si>
  <si>
    <t>Total Outflows</t>
  </si>
  <si>
    <t>Net Cash Flow</t>
  </si>
  <si>
    <t>Beginning Cash</t>
  </si>
  <si>
    <t>Ending Cash</t>
  </si>
  <si>
    <t>ANNUAL CASH BUDGET</t>
  </si>
  <si>
    <t>ASSETS</t>
  </si>
  <si>
    <t>Total Assets</t>
  </si>
  <si>
    <t>B/E Sales ($)</t>
  </si>
  <si>
    <t>Projected Sales</t>
  </si>
  <si>
    <t>Margin of Safety</t>
  </si>
  <si>
    <t>Break-Even</t>
  </si>
  <si>
    <t>Cash Break-Even</t>
  </si>
  <si>
    <t>Cash B/E Sales ($)</t>
  </si>
  <si>
    <t>ROI</t>
  </si>
  <si>
    <t>ROE</t>
  </si>
  <si>
    <t>Return on Investment</t>
  </si>
  <si>
    <t>Return on Equity</t>
  </si>
  <si>
    <t>Equity</t>
  </si>
  <si>
    <t>Equity Infusion</t>
  </si>
  <si>
    <t>Bonus</t>
  </si>
  <si>
    <t>Contribution Margin</t>
  </si>
  <si>
    <t>Return Analysis</t>
  </si>
  <si>
    <t>Break-Even Analysis</t>
  </si>
  <si>
    <t>Franchise Fee</t>
  </si>
  <si>
    <t>Inventory</t>
  </si>
  <si>
    <t>Fixed Assets</t>
  </si>
  <si>
    <t>Food Costs</t>
  </si>
  <si>
    <t>Payroll Taxes</t>
  </si>
  <si>
    <t>Royalty</t>
  </si>
  <si>
    <t>Paper Goods</t>
  </si>
  <si>
    <t>Credit Card</t>
  </si>
  <si>
    <t>Cash Float</t>
  </si>
  <si>
    <t>Laundry and Maintenance</t>
  </si>
  <si>
    <t>Insurance</t>
  </si>
  <si>
    <t>Phone</t>
  </si>
  <si>
    <t>Amortization - Franchise Fee</t>
  </si>
  <si>
    <t>Amortization - Liquor License</t>
  </si>
  <si>
    <t>Payroll Costs</t>
  </si>
  <si>
    <t xml:space="preserve">   Liquor License</t>
  </si>
  <si>
    <t xml:space="preserve">   Tax</t>
  </si>
  <si>
    <t xml:space="preserve">   Franchise Fee</t>
  </si>
  <si>
    <t xml:space="preserve">   Inventory</t>
  </si>
  <si>
    <t xml:space="preserve">   Fixed Assets</t>
  </si>
  <si>
    <t>Non-Bank Credit Cards</t>
  </si>
  <si>
    <t>LIABILITIES AND EQUITY</t>
  </si>
  <si>
    <t>Total Liabilities</t>
  </si>
  <si>
    <t>Cash</t>
  </si>
  <si>
    <t>Receivables</t>
  </si>
  <si>
    <t>Net Franchise Fee</t>
  </si>
  <si>
    <t>Net Liquor License</t>
  </si>
  <si>
    <t>Accounts Payable</t>
  </si>
  <si>
    <t>Bonus Payable</t>
  </si>
  <si>
    <t>Tax Payable</t>
  </si>
  <si>
    <t>Common Stock</t>
  </si>
  <si>
    <t>Retained Earnings</t>
  </si>
  <si>
    <t>Total Equity</t>
  </si>
  <si>
    <t>Total Liabilities and Equity</t>
  </si>
  <si>
    <t>Cash Short</t>
  </si>
  <si>
    <t>Total Cash Fixed Costs</t>
  </si>
  <si>
    <t xml:space="preserve">     Less:  Variable Costs</t>
  </si>
  <si>
    <t>Contribution</t>
  </si>
  <si>
    <t>Earnings Before Interest and Tax</t>
  </si>
  <si>
    <t xml:space="preserve">     Less:  Interest</t>
  </si>
  <si>
    <t>Net Income Before Tax</t>
  </si>
  <si>
    <t xml:space="preserve">     Less:  Tax</t>
  </si>
  <si>
    <t>Total Non-Interest Fixed Costs</t>
  </si>
  <si>
    <t>EXPENSES</t>
  </si>
  <si>
    <t>INTEREST</t>
  </si>
  <si>
    <t>Sales Estimate</t>
  </si>
  <si>
    <t>Waller's Estimate</t>
  </si>
  <si>
    <t>Sales Estimate Adjustment (%)</t>
  </si>
  <si>
    <t>Total Cash Expenses</t>
  </si>
  <si>
    <t>Total Accounts Payable Expenses</t>
  </si>
  <si>
    <t>Single Payment Expenses</t>
  </si>
  <si>
    <t>Non-Cash Expenses</t>
  </si>
  <si>
    <t>Total Single Payment Expenses</t>
  </si>
  <si>
    <t>Total Non-Cash Expenses</t>
  </si>
  <si>
    <t>Cash Expenses</t>
  </si>
  <si>
    <t>A/P Expenses</t>
  </si>
  <si>
    <t>Expenses</t>
  </si>
  <si>
    <t>Tax</t>
  </si>
  <si>
    <t>Cash Expenses (evenly distributed through each year)</t>
  </si>
  <si>
    <t>Accounts Payable Expenses (1 month delayed payment)</t>
  </si>
  <si>
    <t>Three-Year Statement of Financial Position Projections</t>
  </si>
  <si>
    <t>Three-Year Income Statement Projections</t>
  </si>
  <si>
    <t>Depreciation - Fixed Assets</t>
  </si>
  <si>
    <t xml:space="preserve">  Less: Accumulated Depreciation</t>
  </si>
  <si>
    <t>*Ansari's Predictions NOT Waller's</t>
  </si>
  <si>
    <t>Sales above 1,600,000</t>
  </si>
  <si>
    <t>* Don’t amortize stuff u pay recurring, those don’t provide future economic benefits and will be expensed yearly</t>
  </si>
  <si>
    <t>*One time payment, last several years (1000 NOT an expense)</t>
  </si>
  <si>
    <t>used for calculattion of bonuses</t>
  </si>
  <si>
    <t xml:space="preserve">If NOT GIVEN COST SCHEDULES MUST BREAK OUT </t>
  </si>
  <si>
    <t>ALL THE COSTS, (i.e. rent, phone salaries, etc)</t>
  </si>
  <si>
    <t>ON feas, not likely get equal payments (MUST NOT be equal sales and account for recievables)</t>
  </si>
  <si>
    <t>Note 5450 showing up in year 2</t>
  </si>
  <si>
    <t>BONUS PAIDS IN YEAR 2 (month and a half later - april IF PAID)</t>
  </si>
  <si>
    <t>TAX PAID NEXT FY APRIL</t>
  </si>
  <si>
    <t>If have any cash left, use it to pay back the loan!</t>
  </si>
  <si>
    <t>CASH IS KING, HUGE DIFFERENCE BETWEEN CASH AND PROFIT!</t>
  </si>
  <si>
    <t>GOAL SEEK!</t>
  </si>
  <si>
    <t>uNDER DATA, what if analysis, will solve the answer!</t>
  </si>
  <si>
    <t>Great for things</t>
  </si>
  <si>
    <t>Doesn’t automatically update</t>
  </si>
  <si>
    <t>KEY INTEREST AND BANK LOAN STARTING YEARS 1 AND 2!</t>
  </si>
  <si>
    <t>CASH NEEDS TO MATCH WHAT WE HAVE ON CASH BUDGET!</t>
  </si>
  <si>
    <t>IF DO ALL 3 STATEMENTS BS WILL BALANCE!</t>
  </si>
  <si>
    <t>NO PLUGS OR PAYABLES TO MAKE THINGS BALANCE!</t>
  </si>
  <si>
    <t>IF BS WONT BALANCE, GO BACK DO DEBITS AND CREDITS (SUPER T)</t>
  </si>
  <si>
    <t>NEXT CLASS DO LOTS! AOF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</si>
</sst>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</numFmts>
  <fonts count="12" x14ac:knownFonts="1">
    <font>
      <sz val="10"/>
      <name val="Arial"/>
    </font>
    <font>
      <sz val="10"/>
      <name val="Arial"/>
      <family val="2"/>
    </font>
    <font>
      <b/>
      <sz val="12"/>
      <color indexed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12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u/>
      <sz val="10"/>
      <color theme="10"/>
      <name val="Arial"/>
    </font>
    <font>
      <u/>
      <sz val="10"/>
      <color theme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42" fontId="4" fillId="0" borderId="1" xfId="2" applyNumberFormat="1" applyFont="1" applyBorder="1"/>
    <xf numFmtId="41" fontId="4" fillId="0" borderId="1" xfId="2" applyNumberFormat="1" applyFont="1" applyBorder="1"/>
    <xf numFmtId="0" fontId="5" fillId="0" borderId="1" xfId="0" applyFont="1" applyBorder="1"/>
    <xf numFmtId="0" fontId="2" fillId="0" borderId="0" xfId="0" applyFont="1" applyAlignment="1">
      <alignment horizontal="center"/>
    </xf>
    <xf numFmtId="42" fontId="8" fillId="0" borderId="1" xfId="2" applyNumberFormat="1" applyFont="1" applyBorder="1"/>
    <xf numFmtId="0" fontId="6" fillId="0" borderId="0" xfId="0" applyFont="1"/>
    <xf numFmtId="0" fontId="5" fillId="0" borderId="1" xfId="0" applyFont="1" applyBorder="1" applyAlignment="1">
      <alignment horizontal="center"/>
    </xf>
    <xf numFmtId="164" fontId="4" fillId="0" borderId="1" xfId="3" applyNumberFormat="1" applyFont="1" applyBorder="1"/>
    <xf numFmtId="0" fontId="4" fillId="0" borderId="0" xfId="0" applyFont="1" applyBorder="1"/>
    <xf numFmtId="165" fontId="4" fillId="0" borderId="1" xfId="2" applyNumberFormat="1" applyFont="1" applyBorder="1"/>
    <xf numFmtId="0" fontId="8" fillId="0" borderId="1" xfId="0" applyFont="1" applyBorder="1"/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42" fontId="4" fillId="0" borderId="3" xfId="2" applyNumberFormat="1" applyFont="1" applyBorder="1"/>
    <xf numFmtId="41" fontId="4" fillId="0" borderId="3" xfId="1" applyNumberFormat="1" applyFont="1" applyBorder="1"/>
    <xf numFmtId="41" fontId="4" fillId="0" borderId="4" xfId="1" applyNumberFormat="1" applyFont="1" applyBorder="1"/>
    <xf numFmtId="41" fontId="4" fillId="0" borderId="5" xfId="1" applyNumberFormat="1" applyFont="1" applyBorder="1"/>
    <xf numFmtId="42" fontId="4" fillId="0" borderId="3" xfId="1" applyNumberFormat="1" applyFont="1" applyBorder="1"/>
    <xf numFmtId="41" fontId="4" fillId="0" borderId="6" xfId="1" applyNumberFormat="1" applyFont="1" applyBorder="1"/>
    <xf numFmtId="42" fontId="4" fillId="0" borderId="5" xfId="2" applyNumberFormat="1" applyFont="1" applyBorder="1"/>
    <xf numFmtId="42" fontId="4" fillId="0" borderId="0" xfId="0" applyNumberFormat="1" applyFont="1"/>
    <xf numFmtId="0" fontId="4" fillId="0" borderId="2" xfId="0" applyFont="1" applyBorder="1"/>
    <xf numFmtId="0" fontId="4" fillId="0" borderId="10" xfId="0" applyFont="1" applyBorder="1"/>
    <xf numFmtId="0" fontId="4" fillId="0" borderId="3" xfId="0" applyFont="1" applyBorder="1"/>
    <xf numFmtId="0" fontId="8" fillId="0" borderId="3" xfId="0" applyFont="1" applyBorder="1"/>
    <xf numFmtId="0" fontId="4" fillId="0" borderId="5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8" fillId="0" borderId="11" xfId="0" applyFont="1" applyBorder="1"/>
    <xf numFmtId="42" fontId="8" fillId="0" borderId="7" xfId="2" applyNumberFormat="1" applyFont="1" applyBorder="1"/>
    <xf numFmtId="41" fontId="8" fillId="0" borderId="1" xfId="2" applyNumberFormat="1" applyFont="1" applyBorder="1"/>
    <xf numFmtId="164" fontId="8" fillId="0" borderId="1" xfId="3" applyNumberFormat="1" applyFont="1" applyBorder="1"/>
    <xf numFmtId="41" fontId="4" fillId="0" borderId="5" xfId="2" applyNumberFormat="1" applyFont="1" applyBorder="1"/>
    <xf numFmtId="41" fontId="4" fillId="0" borderId="0" xfId="2" applyNumberFormat="1" applyFont="1" applyBorder="1"/>
    <xf numFmtId="0" fontId="4" fillId="0" borderId="1" xfId="0" applyFont="1" applyBorder="1" applyAlignment="1">
      <alignment horizontal="left" indent="1"/>
    </xf>
    <xf numFmtId="0" fontId="4" fillId="0" borderId="5" xfId="0" applyFont="1" applyBorder="1" applyAlignment="1">
      <alignment horizontal="left" indent="1"/>
    </xf>
    <xf numFmtId="3" fontId="4" fillId="0" borderId="1" xfId="0" applyNumberFormat="1" applyFont="1" applyBorder="1"/>
    <xf numFmtId="9" fontId="4" fillId="0" borderId="1" xfId="0" applyNumberFormat="1" applyFont="1" applyBorder="1"/>
    <xf numFmtId="165" fontId="4" fillId="0" borderId="3" xfId="2" applyNumberFormat="1" applyFont="1" applyBorder="1"/>
    <xf numFmtId="0" fontId="8" fillId="0" borderId="1" xfId="0" applyFont="1" applyBorder="1" applyAlignment="1">
      <alignment horizontal="left"/>
    </xf>
    <xf numFmtId="166" fontId="4" fillId="0" borderId="3" xfId="1" applyNumberFormat="1" applyFont="1" applyBorder="1"/>
    <xf numFmtId="0" fontId="4" fillId="0" borderId="3" xfId="0" applyFont="1" applyBorder="1" applyAlignment="1">
      <alignment horizontal="left" indent="1"/>
    </xf>
    <xf numFmtId="166" fontId="4" fillId="0" borderId="4" xfId="1" applyNumberFormat="1" applyFont="1" applyBorder="1"/>
    <xf numFmtId="44" fontId="4" fillId="0" borderId="0" xfId="2" applyFont="1"/>
    <xf numFmtId="0" fontId="3" fillId="0" borderId="0" xfId="0" applyFont="1" applyAlignment="1">
      <alignment wrapText="1"/>
    </xf>
    <xf numFmtId="42" fontId="4" fillId="0" borderId="5" xfId="1" applyNumberFormat="1" applyFont="1" applyBorder="1"/>
    <xf numFmtId="42" fontId="4" fillId="0" borderId="1" xfId="1" applyNumberFormat="1" applyFont="1" applyBorder="1"/>
    <xf numFmtId="0" fontId="4" fillId="3" borderId="0" xfId="0" applyFont="1" applyFill="1"/>
    <xf numFmtId="41" fontId="4" fillId="0" borderId="6" xfId="1" applyNumberFormat="1" applyFont="1" applyFill="1" applyBorder="1"/>
    <xf numFmtId="41" fontId="4" fillId="0" borderId="1" xfId="0" applyNumberFormat="1" applyFont="1" applyBorder="1"/>
    <xf numFmtId="166" fontId="4" fillId="3" borderId="5" xfId="2" applyNumberFormat="1" applyFont="1" applyFill="1" applyBorder="1"/>
    <xf numFmtId="41" fontId="4" fillId="0" borderId="3" xfId="1" applyNumberFormat="1" applyFont="1" applyFill="1" applyBorder="1"/>
    <xf numFmtId="0" fontId="7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</cellXfs>
  <cellStyles count="6">
    <cellStyle name="Comma" xfId="1" builtinId="3"/>
    <cellStyle name="Currency" xfId="2" builtinId="4"/>
    <cellStyle name="Followed Hyperlink" xfId="5" builtinId="9" hidden="1"/>
    <cellStyle name="Hyperlink" xfId="4" builtinId="8" hidden="1"/>
    <cellStyle name="Normal" xfId="0" builtinId="0"/>
    <cellStyle name="Percent" xfId="3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14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6"/>
  <sheetViews>
    <sheetView zoomScale="130" zoomScaleNormal="130" zoomScalePageLayoutView="130" workbookViewId="0">
      <selection activeCell="C13" sqref="C13"/>
    </sheetView>
  </sheetViews>
  <sheetFormatPr baseColWidth="10" defaultColWidth="9.1640625" defaultRowHeight="14" x14ac:dyDescent="0.2"/>
  <cols>
    <col min="1" max="1" width="3.6640625" style="1" customWidth="1"/>
    <col min="2" max="2" width="28.5" style="1" customWidth="1"/>
    <col min="3" max="3" width="18.5" style="1" customWidth="1"/>
    <col min="4" max="4" width="3.6640625" style="1" customWidth="1"/>
    <col min="5" max="16384" width="9.1640625" style="1"/>
  </cols>
  <sheetData>
    <row r="2" spans="2:3" ht="16" x14ac:dyDescent="0.2">
      <c r="B2" s="57" t="s">
        <v>1</v>
      </c>
      <c r="C2" s="57"/>
    </row>
    <row r="3" spans="2:3" ht="4" customHeight="1" x14ac:dyDescent="0.2">
      <c r="B3" s="2"/>
      <c r="C3" s="2"/>
    </row>
    <row r="4" spans="2:3" ht="16" x14ac:dyDescent="0.2">
      <c r="B4" s="57" t="s">
        <v>2</v>
      </c>
      <c r="C4" s="57"/>
    </row>
    <row r="5" spans="2:3" ht="6.75" customHeight="1" x14ac:dyDescent="0.2">
      <c r="B5" s="3"/>
      <c r="C5" s="3"/>
    </row>
    <row r="6" spans="2:3" ht="16" x14ac:dyDescent="0.2">
      <c r="B6" s="4" t="s">
        <v>64</v>
      </c>
      <c r="C6" s="5">
        <v>50000</v>
      </c>
    </row>
    <row r="7" spans="2:3" ht="16" x14ac:dyDescent="0.2">
      <c r="B7" s="4" t="s">
        <v>0</v>
      </c>
      <c r="C7" s="6">
        <f>1000</f>
        <v>1000</v>
      </c>
    </row>
    <row r="8" spans="2:3" ht="16" x14ac:dyDescent="0.2">
      <c r="B8" s="4" t="s">
        <v>65</v>
      </c>
      <c r="C8" s="6">
        <v>15000</v>
      </c>
    </row>
    <row r="9" spans="2:3" ht="16" x14ac:dyDescent="0.2">
      <c r="B9" s="4" t="s">
        <v>72</v>
      </c>
      <c r="C9" s="6">
        <v>20000</v>
      </c>
    </row>
    <row r="10" spans="2:3" ht="16" x14ac:dyDescent="0.2">
      <c r="B10" s="4" t="s">
        <v>66</v>
      </c>
      <c r="C10" s="6">
        <v>390000</v>
      </c>
    </row>
    <row r="11" spans="2:3" ht="16" x14ac:dyDescent="0.2">
      <c r="B11" s="7" t="s">
        <v>3</v>
      </c>
      <c r="C11" s="9">
        <f>SUM(C6:C10)</f>
        <v>476000</v>
      </c>
    </row>
    <row r="12" spans="2:3" ht="9" customHeight="1" x14ac:dyDescent="0.2">
      <c r="B12" s="3"/>
      <c r="C12" s="3"/>
    </row>
    <row r="13" spans="2:3" ht="16" x14ac:dyDescent="0.2">
      <c r="B13" s="4" t="s">
        <v>59</v>
      </c>
      <c r="C13" s="5">
        <v>50000</v>
      </c>
    </row>
    <row r="14" spans="2:3" ht="16" x14ac:dyDescent="0.2">
      <c r="B14" s="4" t="s">
        <v>34</v>
      </c>
      <c r="C14" s="6">
        <f>C11-C13</f>
        <v>426000</v>
      </c>
    </row>
    <row r="15" spans="2:3" ht="16" x14ac:dyDescent="0.2">
      <c r="B15" s="7" t="s">
        <v>3</v>
      </c>
      <c r="C15" s="9">
        <f>SUM(C13:C14)</f>
        <v>476000</v>
      </c>
    </row>
    <row r="16" spans="2:3" ht="16" x14ac:dyDescent="0.2">
      <c r="B16" s="3"/>
      <c r="C16" s="3"/>
    </row>
  </sheetData>
  <mergeCells count="2">
    <mergeCell ref="B2:C2"/>
    <mergeCell ref="B4:C4"/>
  </mergeCells>
  <phoneticPr fontId="0" type="noConversion"/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6"/>
  <sheetViews>
    <sheetView zoomScale="130" zoomScaleNormal="130" zoomScalePageLayoutView="130" workbookViewId="0">
      <selection activeCell="C14" sqref="C14"/>
    </sheetView>
  </sheetViews>
  <sheetFormatPr baseColWidth="10" defaultColWidth="9.1640625" defaultRowHeight="16" x14ac:dyDescent="0.2"/>
  <cols>
    <col min="1" max="1" width="3.6640625" style="3" customWidth="1"/>
    <col min="2" max="2" width="28.5" style="3" customWidth="1"/>
    <col min="3" max="3" width="18.5" style="3" customWidth="1"/>
    <col min="4" max="4" width="3.6640625" style="3" customWidth="1"/>
    <col min="5" max="16384" width="9.1640625" style="3"/>
  </cols>
  <sheetData>
    <row r="1" spans="2:5" s="1" customFormat="1" ht="14" x14ac:dyDescent="0.2"/>
    <row r="2" spans="2:5" x14ac:dyDescent="0.2">
      <c r="B2" s="57" t="s">
        <v>1</v>
      </c>
      <c r="C2" s="57"/>
    </row>
    <row r="3" spans="2:5" ht="4" customHeight="1" x14ac:dyDescent="0.2">
      <c r="B3" s="2"/>
      <c r="C3" s="2"/>
    </row>
    <row r="4" spans="2:5" x14ac:dyDescent="0.2">
      <c r="B4" s="57" t="s">
        <v>4</v>
      </c>
      <c r="C4" s="57"/>
    </row>
    <row r="5" spans="2:5" ht="7.5" customHeight="1" x14ac:dyDescent="0.2"/>
    <row r="6" spans="2:5" x14ac:dyDescent="0.2">
      <c r="B6" s="4" t="s">
        <v>67</v>
      </c>
      <c r="C6" s="12">
        <v>0.35</v>
      </c>
      <c r="E6" s="3" t="s">
        <v>128</v>
      </c>
    </row>
    <row r="7" spans="2:5" x14ac:dyDescent="0.2">
      <c r="B7" s="4" t="s">
        <v>78</v>
      </c>
      <c r="C7" s="12">
        <v>0.2</v>
      </c>
      <c r="E7" s="3" t="s">
        <v>128</v>
      </c>
    </row>
    <row r="8" spans="2:5" x14ac:dyDescent="0.2">
      <c r="B8" s="4" t="s">
        <v>68</v>
      </c>
      <c r="C8" s="12">
        <f>C7*10%</f>
        <v>2.0000000000000004E-2</v>
      </c>
    </row>
    <row r="9" spans="2:5" x14ac:dyDescent="0.2">
      <c r="B9" s="4" t="s">
        <v>69</v>
      </c>
      <c r="C9" s="12">
        <v>0.04</v>
      </c>
    </row>
    <row r="10" spans="2:5" x14ac:dyDescent="0.2">
      <c r="B10" s="4" t="s">
        <v>70</v>
      </c>
      <c r="C10" s="12">
        <v>1.4999999999999999E-2</v>
      </c>
    </row>
    <row r="11" spans="2:5" x14ac:dyDescent="0.2">
      <c r="B11" s="4" t="s">
        <v>73</v>
      </c>
      <c r="C11" s="12">
        <v>6.0000000000000001E-3</v>
      </c>
    </row>
    <row r="12" spans="2:5" x14ac:dyDescent="0.2">
      <c r="B12" s="4" t="s">
        <v>98</v>
      </c>
      <c r="C12" s="12">
        <v>5.0000000000000001E-3</v>
      </c>
    </row>
    <row r="13" spans="2:5" x14ac:dyDescent="0.2">
      <c r="B13" s="4" t="s">
        <v>71</v>
      </c>
      <c r="C13" s="12">
        <v>2.1000000000000001E-2</v>
      </c>
    </row>
    <row r="14" spans="2:5" x14ac:dyDescent="0.2">
      <c r="B14" s="7" t="s">
        <v>3</v>
      </c>
      <c r="C14" s="12">
        <f>SUM(C6:C13)</f>
        <v>0.65700000000000014</v>
      </c>
    </row>
    <row r="15" spans="2:5" s="1" customFormat="1" ht="9" customHeight="1" x14ac:dyDescent="0.2">
      <c r="B15" s="3"/>
      <c r="C15" s="3"/>
    </row>
    <row r="16" spans="2:5" x14ac:dyDescent="0.2">
      <c r="B16" s="7" t="s">
        <v>61</v>
      </c>
      <c r="C16" s="36">
        <f>100%-C14</f>
        <v>0.34299999999999986</v>
      </c>
    </row>
  </sheetData>
  <mergeCells count="2">
    <mergeCell ref="B2:C2"/>
    <mergeCell ref="B4:C4"/>
  </mergeCells>
  <phoneticPr fontId="0" type="noConversion"/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8"/>
  <sheetViews>
    <sheetView topLeftCell="A4" zoomScale="130" zoomScaleNormal="130" zoomScalePageLayoutView="130" workbookViewId="0">
      <selection activeCell="D28" sqref="D28"/>
    </sheetView>
  </sheetViews>
  <sheetFormatPr baseColWidth="10" defaultColWidth="9.1640625" defaultRowHeight="16" x14ac:dyDescent="0.2"/>
  <cols>
    <col min="1" max="1" width="3.6640625" style="3" customWidth="1"/>
    <col min="2" max="2" width="35" style="3" customWidth="1"/>
    <col min="3" max="5" width="17.1640625" style="3" customWidth="1"/>
    <col min="6" max="6" width="3.6640625" style="3" customWidth="1"/>
    <col min="7" max="8" width="9.1640625" style="3"/>
    <col min="9" max="9" width="19.83203125" style="3" customWidth="1"/>
    <col min="10" max="16384" width="9.1640625" style="3"/>
  </cols>
  <sheetData>
    <row r="1" spans="2:10" s="1" customFormat="1" ht="14" x14ac:dyDescent="0.2"/>
    <row r="2" spans="2:10" x14ac:dyDescent="0.2">
      <c r="B2" s="57" t="s">
        <v>1</v>
      </c>
      <c r="C2" s="57"/>
      <c r="D2" s="57"/>
      <c r="E2" s="57"/>
    </row>
    <row r="3" spans="2:10" ht="4" customHeight="1" x14ac:dyDescent="0.2">
      <c r="B3" s="2"/>
      <c r="C3" s="10"/>
      <c r="D3" s="10"/>
      <c r="E3" s="10"/>
    </row>
    <row r="4" spans="2:10" x14ac:dyDescent="0.2">
      <c r="B4" s="57" t="s">
        <v>5</v>
      </c>
      <c r="C4" s="57"/>
      <c r="D4" s="57"/>
      <c r="E4" s="57"/>
    </row>
    <row r="5" spans="2:10" ht="5.25" customHeight="1" x14ac:dyDescent="0.2"/>
    <row r="6" spans="2:10" x14ac:dyDescent="0.2">
      <c r="B6" s="4"/>
      <c r="C6" s="11" t="s">
        <v>6</v>
      </c>
      <c r="D6" s="31" t="s">
        <v>7</v>
      </c>
      <c r="E6" s="11" t="s">
        <v>8</v>
      </c>
    </row>
    <row r="7" spans="2:10" x14ac:dyDescent="0.2">
      <c r="B7" s="15" t="s">
        <v>107</v>
      </c>
      <c r="C7" s="11"/>
      <c r="D7" s="31"/>
      <c r="E7" s="11"/>
    </row>
    <row r="8" spans="2:10" x14ac:dyDescent="0.2">
      <c r="B8" s="15" t="s">
        <v>122</v>
      </c>
      <c r="C8" s="11"/>
      <c r="D8" s="31"/>
      <c r="E8" s="11"/>
    </row>
    <row r="9" spans="2:10" x14ac:dyDescent="0.2">
      <c r="B9" s="39" t="s">
        <v>11</v>
      </c>
      <c r="C9" s="5">
        <v>75000</v>
      </c>
      <c r="D9" s="5">
        <v>75000</v>
      </c>
      <c r="E9" s="5">
        <v>75000</v>
      </c>
      <c r="I9" s="58"/>
      <c r="J9" s="58"/>
    </row>
    <row r="10" spans="2:10" x14ac:dyDescent="0.2">
      <c r="B10" s="39" t="s">
        <v>12</v>
      </c>
      <c r="C10" s="6">
        <f>20*3500</f>
        <v>70000</v>
      </c>
      <c r="D10" s="6">
        <f t="shared" ref="D10:E10" si="0">20*3500</f>
        <v>70000</v>
      </c>
      <c r="E10" s="6">
        <f t="shared" si="0"/>
        <v>70000</v>
      </c>
    </row>
    <row r="11" spans="2:10" x14ac:dyDescent="0.2">
      <c r="B11" s="39" t="s">
        <v>15</v>
      </c>
      <c r="C11" s="6">
        <f>300*12</f>
        <v>3600</v>
      </c>
      <c r="D11" s="6">
        <f t="shared" ref="D11:E11" si="1">300*12</f>
        <v>3600</v>
      </c>
      <c r="E11" s="6">
        <f t="shared" si="1"/>
        <v>3600</v>
      </c>
      <c r="H11" s="59" t="s">
        <v>129</v>
      </c>
      <c r="I11" s="59"/>
      <c r="J11" s="3" t="s">
        <v>132</v>
      </c>
    </row>
    <row r="12" spans="2:10" x14ac:dyDescent="0.2">
      <c r="B12" s="39" t="s">
        <v>16</v>
      </c>
      <c r="C12" s="6">
        <v>40000</v>
      </c>
      <c r="D12" s="6">
        <v>40000</v>
      </c>
      <c r="E12" s="6">
        <v>40000</v>
      </c>
      <c r="H12" s="3" t="s">
        <v>6</v>
      </c>
      <c r="I12" s="48">
        <f>IF(IS!$C$12&gt;1600000,1.5%*IS!$C$12-1600000,0)</f>
        <v>0</v>
      </c>
    </row>
    <row r="13" spans="2:10" x14ac:dyDescent="0.2">
      <c r="B13" s="39" t="s">
        <v>112</v>
      </c>
      <c r="C13" s="35">
        <f>SUM(C9:C12)</f>
        <v>188600</v>
      </c>
      <c r="D13" s="35">
        <f t="shared" ref="D13:E13" si="2">SUM(D9:D12)</f>
        <v>188600</v>
      </c>
      <c r="E13" s="35">
        <f t="shared" si="2"/>
        <v>188600</v>
      </c>
      <c r="H13" s="3" t="s">
        <v>7</v>
      </c>
      <c r="I13" s="48">
        <f>IF(IS!D12&gt;1600000,IS!D12-1600000,0)</f>
        <v>0</v>
      </c>
    </row>
    <row r="14" spans="2:10" x14ac:dyDescent="0.2">
      <c r="B14" s="39"/>
      <c r="C14" s="6"/>
      <c r="D14" s="6"/>
      <c r="E14" s="6"/>
      <c r="H14" s="3" t="s">
        <v>8</v>
      </c>
      <c r="I14" s="48">
        <f>IF(IS!E12&gt;1600000,IS!E12-1600000,0)</f>
        <v>0</v>
      </c>
    </row>
    <row r="15" spans="2:10" x14ac:dyDescent="0.2">
      <c r="B15" s="44" t="s">
        <v>123</v>
      </c>
      <c r="C15" s="5"/>
      <c r="D15" s="5"/>
      <c r="E15" s="5"/>
    </row>
    <row r="16" spans="2:10" x14ac:dyDescent="0.2">
      <c r="B16" s="39" t="s">
        <v>13</v>
      </c>
      <c r="C16" s="6">
        <f>70%*42000</f>
        <v>29399.999999999996</v>
      </c>
      <c r="D16" s="6">
        <f>C16+2000</f>
        <v>31399.999999999996</v>
      </c>
      <c r="E16" s="6">
        <f>D16+2000</f>
        <v>33400</v>
      </c>
    </row>
    <row r="17" spans="2:9" x14ac:dyDescent="0.2">
      <c r="B17" s="39" t="s">
        <v>14</v>
      </c>
      <c r="C17" s="6">
        <v>14000</v>
      </c>
      <c r="D17" s="6">
        <v>14000</v>
      </c>
      <c r="E17" s="6">
        <v>14000</v>
      </c>
    </row>
    <row r="18" spans="2:9" x14ac:dyDescent="0.2">
      <c r="B18" s="39" t="s">
        <v>74</v>
      </c>
      <c r="C18" s="6">
        <v>12000</v>
      </c>
      <c r="D18" s="6">
        <v>12000</v>
      </c>
      <c r="E18" s="6">
        <v>12000</v>
      </c>
    </row>
    <row r="19" spans="2:9" x14ac:dyDescent="0.2">
      <c r="B19" s="39" t="s">
        <v>75</v>
      </c>
      <c r="C19" s="6">
        <v>10000</v>
      </c>
      <c r="D19" s="6">
        <v>10000</v>
      </c>
      <c r="E19" s="6">
        <v>10000</v>
      </c>
    </row>
    <row r="20" spans="2:9" x14ac:dyDescent="0.2">
      <c r="B20" s="39" t="s">
        <v>113</v>
      </c>
      <c r="C20" s="35">
        <f>SUM(C16:C19)</f>
        <v>65400</v>
      </c>
      <c r="D20" s="35">
        <f t="shared" ref="D20:E20" si="3">SUM(D16:D19)</f>
        <v>67400</v>
      </c>
      <c r="E20" s="35">
        <f t="shared" si="3"/>
        <v>69400</v>
      </c>
    </row>
    <row r="21" spans="2:9" x14ac:dyDescent="0.2">
      <c r="B21" s="39"/>
      <c r="C21" s="6"/>
      <c r="D21" s="6"/>
      <c r="E21" s="6"/>
    </row>
    <row r="22" spans="2:9" x14ac:dyDescent="0.2">
      <c r="B22" s="44" t="s">
        <v>114</v>
      </c>
      <c r="C22" s="5"/>
      <c r="D22" s="5"/>
      <c r="E22" s="5"/>
    </row>
    <row r="23" spans="2:9" x14ac:dyDescent="0.2">
      <c r="B23" s="39" t="s">
        <v>0</v>
      </c>
      <c r="C23" s="6">
        <f>1200</f>
        <v>1200</v>
      </c>
      <c r="D23" s="6">
        <v>1200</v>
      </c>
      <c r="E23" s="6">
        <v>1200</v>
      </c>
      <c r="I23" s="3" t="s">
        <v>131</v>
      </c>
    </row>
    <row r="24" spans="2:9" x14ac:dyDescent="0.2">
      <c r="B24" s="39" t="s">
        <v>60</v>
      </c>
      <c r="C24" s="6">
        <f>IF(IS!C12&gt;1600000,1.5%*(IS!C12-1600000),0)</f>
        <v>0</v>
      </c>
      <c r="D24" s="6">
        <f>IF(IS!D12&gt;1600000,1.5%*(IS!D12-1600000),0)</f>
        <v>0</v>
      </c>
      <c r="E24" s="6">
        <f>IF(IS!E12&gt;1600000,1.5%*(IS!E12-1600000),0)</f>
        <v>0</v>
      </c>
    </row>
    <row r="25" spans="2:9" x14ac:dyDescent="0.2">
      <c r="B25" s="39" t="s">
        <v>116</v>
      </c>
      <c r="C25" s="35">
        <f>SUM(C23:C24)</f>
        <v>1200</v>
      </c>
      <c r="D25" s="35">
        <f t="shared" ref="D25:E25" si="4">SUM(D23:D24)</f>
        <v>1200</v>
      </c>
      <c r="E25" s="35">
        <f t="shared" si="4"/>
        <v>1200</v>
      </c>
    </row>
    <row r="26" spans="2:9" x14ac:dyDescent="0.2">
      <c r="B26" s="39"/>
      <c r="C26" s="6"/>
      <c r="D26" s="6"/>
      <c r="E26" s="6"/>
    </row>
    <row r="27" spans="2:9" x14ac:dyDescent="0.2">
      <c r="B27" s="44" t="s">
        <v>115</v>
      </c>
      <c r="C27" s="6"/>
      <c r="D27" s="6"/>
      <c r="E27" s="6"/>
    </row>
    <row r="28" spans="2:9" x14ac:dyDescent="0.2">
      <c r="B28" s="39" t="s">
        <v>126</v>
      </c>
      <c r="C28" s="6">
        <v>139286</v>
      </c>
      <c r="D28" s="6">
        <v>71633</v>
      </c>
      <c r="E28" s="6">
        <v>59694</v>
      </c>
    </row>
    <row r="29" spans="2:9" x14ac:dyDescent="0.2">
      <c r="B29" s="39" t="s">
        <v>76</v>
      </c>
      <c r="C29" s="6">
        <f>(Investments!$C$6/5)</f>
        <v>10000</v>
      </c>
      <c r="D29" s="6">
        <f>(Investments!$C$6/5)</f>
        <v>10000</v>
      </c>
      <c r="E29" s="6">
        <f>(Investments!$C$6/5)</f>
        <v>10000</v>
      </c>
      <c r="I29" s="3" t="s">
        <v>130</v>
      </c>
    </row>
    <row r="30" spans="2:9" x14ac:dyDescent="0.2">
      <c r="B30" s="39" t="s">
        <v>77</v>
      </c>
      <c r="C30" s="6">
        <f>Investments!$C$7/5</f>
        <v>200</v>
      </c>
      <c r="D30" s="6">
        <f>Investments!$C$7/5</f>
        <v>200</v>
      </c>
      <c r="E30" s="6">
        <f>Investments!$C$7/5</f>
        <v>200</v>
      </c>
    </row>
    <row r="31" spans="2:9" x14ac:dyDescent="0.2">
      <c r="B31" s="39" t="s">
        <v>117</v>
      </c>
      <c r="C31" s="35">
        <f>SUM(C28:C30)</f>
        <v>149486</v>
      </c>
      <c r="D31" s="35">
        <f t="shared" ref="D31:E31" si="5">SUM(D28:D30)</f>
        <v>81833</v>
      </c>
      <c r="E31" s="35">
        <f t="shared" si="5"/>
        <v>69894</v>
      </c>
    </row>
    <row r="32" spans="2:9" x14ac:dyDescent="0.2">
      <c r="B32" s="39"/>
      <c r="C32" s="6"/>
      <c r="D32" s="6"/>
      <c r="E32" s="6"/>
    </row>
    <row r="33" spans="2:5" x14ac:dyDescent="0.2">
      <c r="B33" s="15" t="s">
        <v>106</v>
      </c>
      <c r="C33" s="35">
        <f>SUM(C20,C25,C31,C13)</f>
        <v>404686</v>
      </c>
      <c r="D33" s="35">
        <f t="shared" ref="D33:E33" si="6">SUM(D20,D25,D31,D13)</f>
        <v>339033</v>
      </c>
      <c r="E33" s="35">
        <f t="shared" si="6"/>
        <v>329094</v>
      </c>
    </row>
    <row r="34" spans="2:5" x14ac:dyDescent="0.2">
      <c r="B34" s="13"/>
      <c r="C34" s="38"/>
      <c r="D34" s="38"/>
      <c r="E34" s="38"/>
    </row>
    <row r="35" spans="2:5" x14ac:dyDescent="0.2">
      <c r="B35" s="15" t="s">
        <v>108</v>
      </c>
      <c r="C35" s="6"/>
      <c r="D35" s="6"/>
      <c r="E35" s="6"/>
    </row>
    <row r="36" spans="2:5" x14ac:dyDescent="0.2">
      <c r="B36" s="40" t="s">
        <v>10</v>
      </c>
      <c r="C36" s="37">
        <f>Investments!$C$14*8%</f>
        <v>34080</v>
      </c>
      <c r="D36" s="55">
        <f>BS!D21*8%</f>
        <v>21919.199999999997</v>
      </c>
      <c r="E36" s="55">
        <f>BS!F21*8%</f>
        <v>5847.7866666666632</v>
      </c>
    </row>
    <row r="37" spans="2:5" ht="9.75" customHeight="1" x14ac:dyDescent="0.2">
      <c r="B37" s="26"/>
      <c r="C37" s="26"/>
      <c r="D37" s="26"/>
      <c r="E37" s="26"/>
    </row>
    <row r="38" spans="2:5" x14ac:dyDescent="0.2">
      <c r="B38" s="7" t="s">
        <v>9</v>
      </c>
      <c r="C38" s="9">
        <f>SUM(C33,C36)</f>
        <v>438766</v>
      </c>
      <c r="D38" s="9">
        <f t="shared" ref="D38:E38" si="7">SUM(D33,D36)</f>
        <v>360952.2</v>
      </c>
      <c r="E38" s="9">
        <f t="shared" si="7"/>
        <v>334941.78666666668</v>
      </c>
    </row>
  </sheetData>
  <mergeCells count="4">
    <mergeCell ref="B2:E2"/>
    <mergeCell ref="B4:E4"/>
    <mergeCell ref="I9:J9"/>
    <mergeCell ref="H11:I11"/>
  </mergeCells>
  <phoneticPr fontId="0" type="noConversion"/>
  <pageMargins left="0.75" right="0.75" top="1" bottom="1" header="0.5" footer="0.5"/>
  <pageSetup scale="97" orientation="portrait" horizontalDpi="429496729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7"/>
  <sheetViews>
    <sheetView zoomScale="130" zoomScaleNormal="130" zoomScalePageLayoutView="130" workbookViewId="0">
      <selection activeCell="E7" sqref="E7"/>
    </sheetView>
  </sheetViews>
  <sheetFormatPr baseColWidth="10" defaultColWidth="9.1640625" defaultRowHeight="14" x14ac:dyDescent="0.2"/>
  <cols>
    <col min="1" max="1" width="3.6640625" style="1" customWidth="1"/>
    <col min="2" max="2" width="34.33203125" style="1" customWidth="1"/>
    <col min="3" max="3" width="17.1640625" style="1" customWidth="1"/>
    <col min="4" max="4" width="16.6640625" style="1" customWidth="1"/>
    <col min="5" max="5" width="16.5" style="1" customWidth="1"/>
    <col min="6" max="6" width="3.6640625" style="1" customWidth="1"/>
    <col min="7" max="16384" width="9.1640625" style="1"/>
  </cols>
  <sheetData>
    <row r="2" spans="2:5" ht="16" x14ac:dyDescent="0.2">
      <c r="B2" s="57" t="s">
        <v>1</v>
      </c>
      <c r="C2" s="57"/>
      <c r="D2" s="57"/>
      <c r="E2" s="57"/>
    </row>
    <row r="3" spans="2:5" ht="4" customHeight="1" x14ac:dyDescent="0.2">
      <c r="B3" s="2"/>
      <c r="C3" s="10"/>
      <c r="D3" s="10"/>
      <c r="E3" s="10"/>
    </row>
    <row r="4" spans="2:5" ht="16" x14ac:dyDescent="0.2">
      <c r="B4" s="57" t="s">
        <v>125</v>
      </c>
      <c r="C4" s="57"/>
      <c r="D4" s="57"/>
      <c r="E4" s="57"/>
    </row>
    <row r="5" spans="2:5" ht="3.75" customHeight="1" x14ac:dyDescent="0.2"/>
    <row r="6" spans="2:5" ht="15.75" customHeight="1" x14ac:dyDescent="0.2">
      <c r="B6" s="4"/>
      <c r="C6" s="11" t="s">
        <v>6</v>
      </c>
      <c r="D6" s="11" t="s">
        <v>7</v>
      </c>
      <c r="E6" s="11" t="s">
        <v>8</v>
      </c>
    </row>
    <row r="7" spans="2:5" ht="15.75" customHeight="1" x14ac:dyDescent="0.2">
      <c r="B7" s="4" t="s">
        <v>110</v>
      </c>
      <c r="C7" s="41">
        <f>1600000</f>
        <v>1600000</v>
      </c>
      <c r="D7" s="41">
        <f>C7+150000</f>
        <v>1750000</v>
      </c>
      <c r="E7" s="41">
        <f>D7+150000</f>
        <v>1900000</v>
      </c>
    </row>
    <row r="8" spans="2:5" ht="15.75" customHeight="1" x14ac:dyDescent="0.2">
      <c r="B8" s="4" t="s">
        <v>111</v>
      </c>
      <c r="C8" s="42">
        <v>0.8</v>
      </c>
      <c r="D8" s="42">
        <v>0.8</v>
      </c>
      <c r="E8" s="42">
        <v>0.8</v>
      </c>
    </row>
    <row r="9" spans="2:5" ht="15.75" customHeight="1" x14ac:dyDescent="0.2">
      <c r="B9" s="4" t="s">
        <v>109</v>
      </c>
      <c r="C9" s="41">
        <f>C8*C7</f>
        <v>1280000</v>
      </c>
      <c r="D9" s="41">
        <f t="shared" ref="D9:E9" si="0">D8*D7</f>
        <v>1400000</v>
      </c>
      <c r="E9" s="41">
        <f t="shared" si="0"/>
        <v>1520000</v>
      </c>
    </row>
    <row r="10" spans="2:5" ht="3.75" customHeight="1" x14ac:dyDescent="0.2"/>
    <row r="11" spans="2:5" ht="16" x14ac:dyDescent="0.2">
      <c r="B11" s="4"/>
      <c r="C11" s="11" t="s">
        <v>6</v>
      </c>
      <c r="D11" s="11" t="s">
        <v>7</v>
      </c>
      <c r="E11" s="11" t="s">
        <v>8</v>
      </c>
    </row>
    <row r="12" spans="2:5" ht="16" x14ac:dyDescent="0.2">
      <c r="B12" s="4" t="s">
        <v>17</v>
      </c>
      <c r="C12" s="5">
        <f>C9</f>
        <v>1280000</v>
      </c>
      <c r="D12" s="5">
        <f t="shared" ref="D12:E12" si="1">D9</f>
        <v>1400000</v>
      </c>
      <c r="E12" s="5">
        <f t="shared" si="1"/>
        <v>1520000</v>
      </c>
    </row>
    <row r="13" spans="2:5" ht="16" x14ac:dyDescent="0.2">
      <c r="B13" s="4" t="s">
        <v>100</v>
      </c>
      <c r="C13" s="6">
        <f>C12*(VC!$C$14)</f>
        <v>840960.00000000023</v>
      </c>
      <c r="D13" s="6">
        <f>D12*(VC!$C$14)</f>
        <v>919800.00000000023</v>
      </c>
      <c r="E13" s="6">
        <f>E12*(VC!$C$14)</f>
        <v>998640.00000000023</v>
      </c>
    </row>
    <row r="14" spans="2:5" ht="16" x14ac:dyDescent="0.2">
      <c r="B14" s="4" t="s">
        <v>101</v>
      </c>
      <c r="C14" s="5">
        <f>C12-C13</f>
        <v>439039.99999999977</v>
      </c>
      <c r="D14" s="5">
        <f t="shared" ref="D14:E14" si="2">D12-D13</f>
        <v>480199.99999999977</v>
      </c>
      <c r="E14" s="5">
        <f t="shared" si="2"/>
        <v>521359.99999999977</v>
      </c>
    </row>
    <row r="15" spans="2:5" ht="9.75" customHeight="1" x14ac:dyDescent="0.2">
      <c r="B15" s="4"/>
      <c r="C15" s="6"/>
      <c r="D15" s="6"/>
      <c r="E15" s="6"/>
    </row>
    <row r="16" spans="2:5" ht="16" x14ac:dyDescent="0.2">
      <c r="B16" s="4" t="s">
        <v>38</v>
      </c>
      <c r="C16" s="6">
        <f>FC!C33</f>
        <v>404686</v>
      </c>
      <c r="D16" s="6">
        <f>FC!D33</f>
        <v>339033</v>
      </c>
      <c r="E16" s="6">
        <f>FC!E33</f>
        <v>329094</v>
      </c>
    </row>
    <row r="17" spans="2:13" ht="9.75" customHeight="1" x14ac:dyDescent="0.2">
      <c r="B17" s="4"/>
      <c r="C17" s="6"/>
      <c r="D17" s="6"/>
      <c r="E17" s="6"/>
    </row>
    <row r="18" spans="2:13" ht="16" x14ac:dyDescent="0.2">
      <c r="B18" s="4" t="s">
        <v>102</v>
      </c>
      <c r="C18" s="5">
        <f>C14-C16</f>
        <v>34353.999999999767</v>
      </c>
      <c r="D18" s="5">
        <f t="shared" ref="D18:E18" si="3">D14-D16</f>
        <v>141166.99999999977</v>
      </c>
      <c r="E18" s="5">
        <f t="shared" si="3"/>
        <v>192265.99999999977</v>
      </c>
      <c r="H18" s="49"/>
      <c r="I18" s="49"/>
      <c r="J18" s="49"/>
      <c r="K18" s="49"/>
    </row>
    <row r="19" spans="2:13" ht="16" x14ac:dyDescent="0.2">
      <c r="B19" s="4" t="s">
        <v>103</v>
      </c>
      <c r="C19" s="6">
        <f>FC!C36</f>
        <v>34080</v>
      </c>
      <c r="D19" s="6">
        <f>FC!D36</f>
        <v>21919.199999999997</v>
      </c>
      <c r="E19" s="6">
        <f>FC!E36</f>
        <v>5847.7866666666632</v>
      </c>
      <c r="H19" s="49"/>
      <c r="I19" s="49"/>
      <c r="J19" s="49"/>
      <c r="K19" s="49"/>
    </row>
    <row r="20" spans="2:13" ht="16" x14ac:dyDescent="0.2">
      <c r="B20" s="4" t="s">
        <v>104</v>
      </c>
      <c r="C20" s="5">
        <f>C18-C19</f>
        <v>273.99999999976717</v>
      </c>
      <c r="D20" s="5">
        <f t="shared" ref="D20:E20" si="4">D18-D19</f>
        <v>119247.79999999977</v>
      </c>
      <c r="E20" s="5">
        <f t="shared" si="4"/>
        <v>186418.21333333311</v>
      </c>
      <c r="H20" s="49"/>
      <c r="I20" s="49"/>
      <c r="J20" s="49"/>
      <c r="K20" s="49"/>
      <c r="M20" s="49"/>
    </row>
    <row r="21" spans="2:13" ht="16" x14ac:dyDescent="0.2">
      <c r="B21" s="4" t="s">
        <v>105</v>
      </c>
      <c r="C21" s="6">
        <f>IF(C20&lt;0,0,IF(C20&lt;50000,C20*0.2,IF(50000&lt;C20&lt;100000,50000*20%+(C20-50000)*22%,50000*20%+50000*22%+(C20-100000)*48%)))</f>
        <v>54.799999999953435</v>
      </c>
      <c r="D21" s="6">
        <f>IF(D20&lt;0,0,IF(D20&lt;50000,D20*0.2,IF(50000&lt;D20&lt;100000,50000*20%+(D20-50000)*22%,50000*20%+50000*22%+(D20-100000)*48%)))</f>
        <v>30238.943999999887</v>
      </c>
      <c r="E21" s="6">
        <f>IF(E20&lt;0,0,IF(E20&lt;50000,E20*0.2,IF(50000&lt;E20&lt;100000,50000*20%+(E20-50000)*22%,50000*20%+50000*22%+(E20-100000)*48%)))</f>
        <v>62480.742399999894</v>
      </c>
      <c r="H21" s="49"/>
      <c r="I21" s="49"/>
      <c r="J21" s="49"/>
      <c r="K21" s="49"/>
    </row>
    <row r="22" spans="2:13" ht="16" x14ac:dyDescent="0.2">
      <c r="B22" s="32" t="s">
        <v>18</v>
      </c>
      <c r="C22" s="9">
        <f>C20-C21</f>
        <v>219.19999999981374</v>
      </c>
      <c r="D22" s="9">
        <f t="shared" ref="D22:E22" si="5">D20-D21</f>
        <v>89008.855999999883</v>
      </c>
      <c r="E22" s="9">
        <f t="shared" si="5"/>
        <v>123937.47093333321</v>
      </c>
    </row>
    <row r="26" spans="2:13" x14ac:dyDescent="0.2">
      <c r="B26" s="1" t="s">
        <v>133</v>
      </c>
    </row>
    <row r="27" spans="2:13" x14ac:dyDescent="0.2">
      <c r="B27" s="1" t="s">
        <v>134</v>
      </c>
    </row>
  </sheetData>
  <mergeCells count="2">
    <mergeCell ref="B2:E2"/>
    <mergeCell ref="B4:E4"/>
  </mergeCells>
  <phoneticPr fontId="0" type="noConversion"/>
  <pageMargins left="0.75" right="0.75" top="1" bottom="1" header="0.5" footer="0.5"/>
  <pageSetup scale="98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Q44"/>
  <sheetViews>
    <sheetView zoomScaleNormal="90" zoomScaleSheetLayoutView="85" zoomScalePageLayoutView="90" workbookViewId="0">
      <pane xSplit="2" ySplit="8" topLeftCell="L9" activePane="bottomRight" state="frozen"/>
      <selection pane="topRight" activeCell="C1" sqref="C1"/>
      <selection pane="bottomLeft" activeCell="A9" sqref="A9"/>
      <selection pane="bottomRight" activeCell="N9" sqref="N9"/>
    </sheetView>
  </sheetViews>
  <sheetFormatPr baseColWidth="10" defaultColWidth="9.1640625" defaultRowHeight="15.75" customHeight="1" x14ac:dyDescent="0.2"/>
  <cols>
    <col min="1" max="1" width="3.6640625" style="3" customWidth="1"/>
    <col min="2" max="2" width="24.33203125" style="3" customWidth="1"/>
    <col min="3" max="3" width="14" style="3" bestFit="1" customWidth="1"/>
    <col min="4" max="15" width="14.33203125" style="3" customWidth="1"/>
    <col min="16" max="16" width="3.6640625" style="3" customWidth="1"/>
    <col min="17" max="16384" width="9.1640625" style="3"/>
  </cols>
  <sheetData>
    <row r="1" spans="2:15" s="1" customFormat="1" ht="15.75" customHeight="1" x14ac:dyDescent="0.2"/>
    <row r="2" spans="2:15" ht="15.75" customHeight="1" x14ac:dyDescent="0.2">
      <c r="B2" s="57" t="s">
        <v>1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2:15" ht="4" customHeight="1" x14ac:dyDescent="0.2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2:15" ht="15.75" customHeight="1" x14ac:dyDescent="0.2">
      <c r="B4" s="57" t="s">
        <v>45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2:15" ht="4" customHeight="1" x14ac:dyDescent="0.2"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</row>
    <row r="6" spans="2:15" ht="15.75" customHeight="1" x14ac:dyDescent="0.2">
      <c r="B6" s="57" t="s">
        <v>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2:15" ht="6" customHeight="1" x14ac:dyDescent="0.2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2:15" ht="15.75" customHeight="1" x14ac:dyDescent="0.2">
      <c r="B8" s="4"/>
      <c r="C8" s="17" t="s">
        <v>19</v>
      </c>
      <c r="D8" s="17" t="s">
        <v>20</v>
      </c>
      <c r="E8" s="17" t="s">
        <v>21</v>
      </c>
      <c r="F8" s="17" t="s">
        <v>22</v>
      </c>
      <c r="G8" s="17" t="s">
        <v>23</v>
      </c>
      <c r="H8" s="17" t="s">
        <v>24</v>
      </c>
      <c r="I8" s="17" t="s">
        <v>25</v>
      </c>
      <c r="J8" s="17" t="s">
        <v>26</v>
      </c>
      <c r="K8" s="17" t="s">
        <v>27</v>
      </c>
      <c r="L8" s="17" t="s">
        <v>28</v>
      </c>
      <c r="M8" s="17" t="s">
        <v>29</v>
      </c>
      <c r="N8" s="17" t="s">
        <v>30</v>
      </c>
      <c r="O8" s="17" t="s">
        <v>31</v>
      </c>
    </row>
    <row r="9" spans="2:15" ht="15.75" customHeight="1" x14ac:dyDescent="0.2">
      <c r="B9" s="27" t="s">
        <v>17</v>
      </c>
      <c r="C9" s="43">
        <f>IS!$C$12/12</f>
        <v>106666.66666666667</v>
      </c>
      <c r="D9" s="43">
        <f>IS!$C$12/12</f>
        <v>106666.66666666667</v>
      </c>
      <c r="E9" s="43">
        <f>IS!$C$12/12</f>
        <v>106666.66666666667</v>
      </c>
      <c r="F9" s="43">
        <f>IS!$C$12/12</f>
        <v>106666.66666666667</v>
      </c>
      <c r="G9" s="43">
        <f>IS!$C$12/12</f>
        <v>106666.66666666667</v>
      </c>
      <c r="H9" s="43">
        <f>IS!$C$12/12</f>
        <v>106666.66666666667</v>
      </c>
      <c r="I9" s="43">
        <f>IS!$C$12/12</f>
        <v>106666.66666666667</v>
      </c>
      <c r="J9" s="43">
        <f>IS!$C$12/12</f>
        <v>106666.66666666667</v>
      </c>
      <c r="K9" s="43">
        <f>IS!$C$12/12</f>
        <v>106666.66666666667</v>
      </c>
      <c r="L9" s="43">
        <f>IS!$C$12/12</f>
        <v>106666.66666666667</v>
      </c>
      <c r="M9" s="43">
        <f>IS!$C$12/12</f>
        <v>106666.66666666667</v>
      </c>
      <c r="N9" s="43">
        <f>IS!$C$12/12</f>
        <v>106666.66666666667</v>
      </c>
      <c r="O9" s="18">
        <f>SUM(C9:N9)</f>
        <v>1280000</v>
      </c>
    </row>
    <row r="10" spans="2:15" ht="6" customHeight="1" x14ac:dyDescent="0.2">
      <c r="B10" s="2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  <c r="O10" s="19"/>
    </row>
    <row r="11" spans="2:15" ht="15.75" customHeight="1" x14ac:dyDescent="0.2">
      <c r="B11" s="29" t="s">
        <v>32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19"/>
    </row>
    <row r="12" spans="2:15" ht="15.75" customHeight="1" x14ac:dyDescent="0.2">
      <c r="B12" s="28" t="s">
        <v>33</v>
      </c>
      <c r="C12" s="18">
        <f>C9-(C9*60%*5%)</f>
        <v>103466.66666666667</v>
      </c>
      <c r="D12" s="18">
        <f t="shared" ref="D12:N12" si="0">D9-(D9*60%*5%)</f>
        <v>103466.66666666667</v>
      </c>
      <c r="E12" s="18">
        <f t="shared" si="0"/>
        <v>103466.66666666667</v>
      </c>
      <c r="F12" s="18">
        <f t="shared" si="0"/>
        <v>103466.66666666667</v>
      </c>
      <c r="G12" s="18">
        <f t="shared" si="0"/>
        <v>103466.66666666667</v>
      </c>
      <c r="H12" s="18">
        <f t="shared" si="0"/>
        <v>103466.66666666667</v>
      </c>
      <c r="I12" s="18">
        <f t="shared" si="0"/>
        <v>103466.66666666667</v>
      </c>
      <c r="J12" s="18">
        <f t="shared" si="0"/>
        <v>103466.66666666667</v>
      </c>
      <c r="K12" s="18">
        <f t="shared" si="0"/>
        <v>103466.66666666667</v>
      </c>
      <c r="L12" s="18">
        <f t="shared" si="0"/>
        <v>103466.66666666667</v>
      </c>
      <c r="M12" s="18">
        <f t="shared" si="0"/>
        <v>103466.66666666667</v>
      </c>
      <c r="N12" s="18">
        <f t="shared" si="0"/>
        <v>103466.66666666667</v>
      </c>
      <c r="O12" s="18">
        <f>SUM(C12:N12)</f>
        <v>1241600</v>
      </c>
    </row>
    <row r="13" spans="2:15" ht="15.75" customHeight="1" x14ac:dyDescent="0.2">
      <c r="B13" s="28" t="s">
        <v>84</v>
      </c>
      <c r="C13" s="45">
        <v>0</v>
      </c>
      <c r="D13" s="45">
        <f>(C9*60%)*5%</f>
        <v>3200</v>
      </c>
      <c r="E13" s="45">
        <f t="shared" ref="E13:N13" si="1">(D9*60%)*5%</f>
        <v>3200</v>
      </c>
      <c r="F13" s="45">
        <f t="shared" si="1"/>
        <v>3200</v>
      </c>
      <c r="G13" s="45">
        <f t="shared" si="1"/>
        <v>3200</v>
      </c>
      <c r="H13" s="45">
        <f t="shared" si="1"/>
        <v>3200</v>
      </c>
      <c r="I13" s="45">
        <f t="shared" si="1"/>
        <v>3200</v>
      </c>
      <c r="J13" s="45">
        <f t="shared" si="1"/>
        <v>3200</v>
      </c>
      <c r="K13" s="45">
        <f t="shared" si="1"/>
        <v>3200</v>
      </c>
      <c r="L13" s="45">
        <f t="shared" si="1"/>
        <v>3200</v>
      </c>
      <c r="M13" s="45">
        <f t="shared" si="1"/>
        <v>3200</v>
      </c>
      <c r="N13" s="45">
        <f t="shared" si="1"/>
        <v>3200</v>
      </c>
      <c r="O13" s="18">
        <f t="shared" ref="O13:O15" si="2">SUM(C13:N13)</f>
        <v>35200</v>
      </c>
    </row>
    <row r="14" spans="2:15" ht="15.75" customHeight="1" x14ac:dyDescent="0.2">
      <c r="B14" s="28" t="s">
        <v>59</v>
      </c>
      <c r="C14" s="19">
        <f>Investments!$C$6</f>
        <v>50000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8">
        <f t="shared" si="2"/>
        <v>50000</v>
      </c>
    </row>
    <row r="15" spans="2:15" ht="15.75" customHeight="1" x14ac:dyDescent="0.2">
      <c r="B15" s="30" t="s">
        <v>34</v>
      </c>
      <c r="C15" s="21">
        <f>Investments!$C$14</f>
        <v>426000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4">
        <f t="shared" si="2"/>
        <v>426000</v>
      </c>
    </row>
    <row r="16" spans="2:15" ht="15.75" customHeight="1" x14ac:dyDescent="0.2">
      <c r="B16" s="28" t="s">
        <v>35</v>
      </c>
      <c r="C16" s="18">
        <f>SUM(C12:C15)</f>
        <v>579466.66666666674</v>
      </c>
      <c r="D16" s="18">
        <f t="shared" ref="D16:N16" si="3">SUM(D12:D15)</f>
        <v>106666.66666666667</v>
      </c>
      <c r="E16" s="18">
        <f t="shared" si="3"/>
        <v>106666.66666666667</v>
      </c>
      <c r="F16" s="18">
        <f t="shared" si="3"/>
        <v>106666.66666666667</v>
      </c>
      <c r="G16" s="18">
        <f t="shared" si="3"/>
        <v>106666.66666666667</v>
      </c>
      <c r="H16" s="18">
        <f t="shared" si="3"/>
        <v>106666.66666666667</v>
      </c>
      <c r="I16" s="18">
        <f t="shared" si="3"/>
        <v>106666.66666666667</v>
      </c>
      <c r="J16" s="18">
        <f t="shared" si="3"/>
        <v>106666.66666666667</v>
      </c>
      <c r="K16" s="18">
        <f t="shared" si="3"/>
        <v>106666.66666666667</v>
      </c>
      <c r="L16" s="18">
        <f t="shared" si="3"/>
        <v>106666.66666666667</v>
      </c>
      <c r="M16" s="18">
        <f t="shared" si="3"/>
        <v>106666.66666666667</v>
      </c>
      <c r="N16" s="18">
        <f t="shared" si="3"/>
        <v>106666.66666666667</v>
      </c>
      <c r="O16" s="18">
        <f>SUM(O12:O15)</f>
        <v>1752800</v>
      </c>
    </row>
    <row r="17" spans="2:17" ht="6" customHeight="1" x14ac:dyDescent="0.2">
      <c r="B17" s="2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  <c r="O17" s="19"/>
    </row>
    <row r="18" spans="2:17" ht="15.75" customHeight="1" x14ac:dyDescent="0.2">
      <c r="B18" s="29" t="s">
        <v>36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19"/>
    </row>
    <row r="19" spans="2:17" ht="15.75" customHeight="1" x14ac:dyDescent="0.2">
      <c r="B19" s="28" t="s">
        <v>120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0"/>
      <c r="O19" s="19"/>
    </row>
    <row r="20" spans="2:17" ht="15.75" customHeight="1" x14ac:dyDescent="0.2">
      <c r="B20" s="46" t="s">
        <v>37</v>
      </c>
      <c r="C20" s="22">
        <f>VC!$C$14*'CB Yr.1'!C9</f>
        <v>70080.000000000015</v>
      </c>
      <c r="D20" s="22">
        <f>VC!$C$14*'CB Yr.1'!D9</f>
        <v>70080.000000000015</v>
      </c>
      <c r="E20" s="22">
        <f>VC!$C$14*'CB Yr.1'!E9</f>
        <v>70080.000000000015</v>
      </c>
      <c r="F20" s="22">
        <f>VC!$C$14*'CB Yr.1'!F9</f>
        <v>70080.000000000015</v>
      </c>
      <c r="G20" s="22">
        <f>VC!$C$14*'CB Yr.1'!G9</f>
        <v>70080.000000000015</v>
      </c>
      <c r="H20" s="22">
        <f>VC!$C$14*'CB Yr.1'!H9</f>
        <v>70080.000000000015</v>
      </c>
      <c r="I20" s="22">
        <f>VC!$C$14*'CB Yr.1'!I9</f>
        <v>70080.000000000015</v>
      </c>
      <c r="J20" s="22">
        <f>VC!$C$14*'CB Yr.1'!J9</f>
        <v>70080.000000000015</v>
      </c>
      <c r="K20" s="22">
        <f>VC!$C$14*'CB Yr.1'!K9</f>
        <v>70080.000000000015</v>
      </c>
      <c r="L20" s="22">
        <f>VC!$C$14*'CB Yr.1'!L9</f>
        <v>70080.000000000015</v>
      </c>
      <c r="M20" s="22">
        <f>VC!$C$14*'CB Yr.1'!M9</f>
        <v>70080.000000000015</v>
      </c>
      <c r="N20" s="22">
        <f>VC!$C$14*'CB Yr.1'!N9</f>
        <v>70080.000000000015</v>
      </c>
      <c r="O20" s="22">
        <f>SUM(C20:N20)</f>
        <v>840960.00000000012</v>
      </c>
    </row>
    <row r="21" spans="2:17" ht="15.75" customHeight="1" x14ac:dyDescent="0.2">
      <c r="B21" s="46" t="s">
        <v>118</v>
      </c>
      <c r="C21" s="45">
        <f>(FC!$C$13)/12</f>
        <v>15716.666666666666</v>
      </c>
      <c r="D21" s="45">
        <f>(FC!$C$13)/12</f>
        <v>15716.666666666666</v>
      </c>
      <c r="E21" s="45">
        <f>(FC!$C$13)/12</f>
        <v>15716.666666666666</v>
      </c>
      <c r="F21" s="45">
        <f>(FC!$C$13)/12</f>
        <v>15716.666666666666</v>
      </c>
      <c r="G21" s="45">
        <f>(FC!$C$13)/12</f>
        <v>15716.666666666666</v>
      </c>
      <c r="H21" s="45">
        <f>(FC!$C$13)/12</f>
        <v>15716.666666666666</v>
      </c>
      <c r="I21" s="45">
        <f>(FC!$C$13)/12</f>
        <v>15716.666666666666</v>
      </c>
      <c r="J21" s="45">
        <f>(FC!$C$13)/12</f>
        <v>15716.666666666666</v>
      </c>
      <c r="K21" s="45">
        <f>(FC!$C$13)/12</f>
        <v>15716.666666666666</v>
      </c>
      <c r="L21" s="45">
        <f>(FC!$C$13)/12</f>
        <v>15716.666666666666</v>
      </c>
      <c r="M21" s="45">
        <f>(FC!$C$13)/12</f>
        <v>15716.666666666666</v>
      </c>
      <c r="N21" s="45">
        <f>(FC!$C$13)/12</f>
        <v>15716.666666666666</v>
      </c>
      <c r="O21" s="22">
        <f t="shared" ref="O21:O26" si="4">SUM(C21:N21)</f>
        <v>188599.99999999997</v>
      </c>
    </row>
    <row r="22" spans="2:17" ht="15.75" customHeight="1" x14ac:dyDescent="0.2">
      <c r="B22" s="46" t="s">
        <v>10</v>
      </c>
      <c r="C22" s="45">
        <f>IS!$C$19/12</f>
        <v>2840</v>
      </c>
      <c r="D22" s="45">
        <f>IS!$C$19/12</f>
        <v>2840</v>
      </c>
      <c r="E22" s="45">
        <f>IS!$C$19/12</f>
        <v>2840</v>
      </c>
      <c r="F22" s="45">
        <f>IS!$C$19/12</f>
        <v>2840</v>
      </c>
      <c r="G22" s="45">
        <f>IS!$C$19/12</f>
        <v>2840</v>
      </c>
      <c r="H22" s="45">
        <f>IS!$C$19/12</f>
        <v>2840</v>
      </c>
      <c r="I22" s="45">
        <f>IS!$C$19/12</f>
        <v>2840</v>
      </c>
      <c r="J22" s="45">
        <f>IS!$C$19/12</f>
        <v>2840</v>
      </c>
      <c r="K22" s="45">
        <f>IS!$C$19/12</f>
        <v>2840</v>
      </c>
      <c r="L22" s="45">
        <f>IS!$C$19/12</f>
        <v>2840</v>
      </c>
      <c r="M22" s="45">
        <f>IS!$C$19/12</f>
        <v>2840</v>
      </c>
      <c r="N22" s="45">
        <f>IS!$C$19/12</f>
        <v>2840</v>
      </c>
      <c r="O22" s="22">
        <f t="shared" si="4"/>
        <v>34080</v>
      </c>
    </row>
    <row r="23" spans="2:17" ht="15.75" customHeight="1" x14ac:dyDescent="0.2">
      <c r="B23" s="46" t="s">
        <v>119</v>
      </c>
      <c r="C23" s="19">
        <v>0</v>
      </c>
      <c r="D23" s="19">
        <f>FC!$C$20/12</f>
        <v>5450</v>
      </c>
      <c r="E23" s="19">
        <f>FC!$C$20/12</f>
        <v>5450</v>
      </c>
      <c r="F23" s="19">
        <f>FC!$C$20/12</f>
        <v>5450</v>
      </c>
      <c r="G23" s="19">
        <f>FC!$C$20/12</f>
        <v>5450</v>
      </c>
      <c r="H23" s="19">
        <f>FC!$C$20/12</f>
        <v>5450</v>
      </c>
      <c r="I23" s="19">
        <f>FC!$C$20/12</f>
        <v>5450</v>
      </c>
      <c r="J23" s="19">
        <f>FC!$C$20/12</f>
        <v>5450</v>
      </c>
      <c r="K23" s="19">
        <f>FC!$C$20/12</f>
        <v>5450</v>
      </c>
      <c r="L23" s="19">
        <f>FC!$C$20/12</f>
        <v>5450</v>
      </c>
      <c r="M23" s="19">
        <f>FC!$C$20/12</f>
        <v>5450</v>
      </c>
      <c r="N23" s="19">
        <f>FC!$C$20/12</f>
        <v>5450</v>
      </c>
      <c r="O23" s="22">
        <f t="shared" si="4"/>
        <v>59950</v>
      </c>
      <c r="Q23" s="52" t="s">
        <v>136</v>
      </c>
    </row>
    <row r="24" spans="2:17" ht="15.75" customHeight="1" x14ac:dyDescent="0.2">
      <c r="B24" s="46" t="s">
        <v>0</v>
      </c>
      <c r="C24" s="19">
        <v>1200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2">
        <f t="shared" si="4"/>
        <v>1200</v>
      </c>
      <c r="Q24" s="52" t="s">
        <v>137</v>
      </c>
    </row>
    <row r="25" spans="2:17" ht="15.75" customHeight="1" x14ac:dyDescent="0.2">
      <c r="B25" s="46" t="s">
        <v>60</v>
      </c>
      <c r="C25" s="19">
        <v>0</v>
      </c>
      <c r="D25" s="56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22">
        <f t="shared" si="4"/>
        <v>0</v>
      </c>
    </row>
    <row r="26" spans="2:17" ht="15.75" customHeight="1" x14ac:dyDescent="0.2">
      <c r="B26" s="46" t="s">
        <v>121</v>
      </c>
      <c r="C26" s="19">
        <v>0</v>
      </c>
      <c r="D26" s="56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22">
        <f t="shared" si="4"/>
        <v>0</v>
      </c>
      <c r="Q26" s="52" t="s">
        <v>138</v>
      </c>
    </row>
    <row r="27" spans="2:17" ht="15.75" customHeight="1" x14ac:dyDescent="0.2">
      <c r="B27" s="2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20"/>
      <c r="O27" s="19"/>
    </row>
    <row r="28" spans="2:17" ht="15.75" customHeight="1" x14ac:dyDescent="0.2">
      <c r="B28" s="28" t="s">
        <v>39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20"/>
      <c r="O28" s="19"/>
    </row>
    <row r="29" spans="2:17" ht="15.75" customHeight="1" x14ac:dyDescent="0.2">
      <c r="B29" s="28" t="s">
        <v>81</v>
      </c>
      <c r="C29" s="19">
        <f>Investments!C6</f>
        <v>50000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2">
        <f t="shared" ref="O29:O33" si="5">SUM(C29:N29)</f>
        <v>50000</v>
      </c>
    </row>
    <row r="30" spans="2:17" ht="15.75" customHeight="1" x14ac:dyDescent="0.2">
      <c r="B30" s="28" t="s">
        <v>79</v>
      </c>
      <c r="C30" s="19">
        <f>Investments!C7</f>
        <v>1000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2">
        <f t="shared" si="5"/>
        <v>1000</v>
      </c>
    </row>
    <row r="31" spans="2:17" ht="15.75" customHeight="1" x14ac:dyDescent="0.2">
      <c r="B31" s="28" t="s">
        <v>82</v>
      </c>
      <c r="C31" s="19">
        <f>Investments!$C$8</f>
        <v>15000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22">
        <f t="shared" si="5"/>
        <v>15000</v>
      </c>
    </row>
    <row r="32" spans="2:17" ht="15.75" customHeight="1" x14ac:dyDescent="0.2">
      <c r="B32" s="28" t="s">
        <v>83</v>
      </c>
      <c r="C32" s="19">
        <f>Investments!$C$10</f>
        <v>390000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22">
        <f t="shared" si="5"/>
        <v>390000</v>
      </c>
    </row>
    <row r="33" spans="2:15" ht="15.75" customHeight="1" x14ac:dyDescent="0.2">
      <c r="B33" s="30" t="s">
        <v>40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53">
        <v>152010.00000000006</v>
      </c>
      <c r="O33" s="50">
        <f t="shared" si="5"/>
        <v>152010.00000000006</v>
      </c>
    </row>
    <row r="34" spans="2:15" ht="15.75" customHeight="1" x14ac:dyDescent="0.2">
      <c r="B34" s="30" t="s">
        <v>41</v>
      </c>
      <c r="C34" s="24">
        <f>SUM(C20:C33)</f>
        <v>545836.66666666674</v>
      </c>
      <c r="D34" s="24">
        <f t="shared" ref="D34:M34" si="6">SUM(D20:D33)</f>
        <v>94086.666666666686</v>
      </c>
      <c r="E34" s="24">
        <f t="shared" si="6"/>
        <v>94086.666666666686</v>
      </c>
      <c r="F34" s="24">
        <f t="shared" si="6"/>
        <v>94086.666666666686</v>
      </c>
      <c r="G34" s="24">
        <f t="shared" si="6"/>
        <v>94086.666666666686</v>
      </c>
      <c r="H34" s="24">
        <f t="shared" si="6"/>
        <v>94086.666666666686</v>
      </c>
      <c r="I34" s="24">
        <f t="shared" si="6"/>
        <v>94086.666666666686</v>
      </c>
      <c r="J34" s="24">
        <f t="shared" si="6"/>
        <v>94086.666666666686</v>
      </c>
      <c r="K34" s="24">
        <f t="shared" si="6"/>
        <v>94086.666666666686</v>
      </c>
      <c r="L34" s="24">
        <f t="shared" si="6"/>
        <v>94086.666666666686</v>
      </c>
      <c r="M34" s="24">
        <f t="shared" si="6"/>
        <v>94086.666666666686</v>
      </c>
      <c r="N34" s="24">
        <f>SUM(N20:N33)</f>
        <v>246096.66666666674</v>
      </c>
      <c r="O34" s="51">
        <f>SUM(O20:O33)</f>
        <v>1732800</v>
      </c>
    </row>
    <row r="35" spans="2:15" ht="15.75" customHeight="1" x14ac:dyDescent="0.2">
      <c r="B35" s="28" t="s">
        <v>42</v>
      </c>
      <c r="C35" s="18">
        <f>C16-C34</f>
        <v>33630</v>
      </c>
      <c r="D35" s="18">
        <f t="shared" ref="D35:N35" si="7">D16-D34</f>
        <v>12579.999999999985</v>
      </c>
      <c r="E35" s="18">
        <f t="shared" si="7"/>
        <v>12579.999999999985</v>
      </c>
      <c r="F35" s="18">
        <f t="shared" si="7"/>
        <v>12579.999999999985</v>
      </c>
      <c r="G35" s="18">
        <f t="shared" si="7"/>
        <v>12579.999999999985</v>
      </c>
      <c r="H35" s="18">
        <f t="shared" si="7"/>
        <v>12579.999999999985</v>
      </c>
      <c r="I35" s="18">
        <f t="shared" si="7"/>
        <v>12579.999999999985</v>
      </c>
      <c r="J35" s="18">
        <f t="shared" si="7"/>
        <v>12579.999999999985</v>
      </c>
      <c r="K35" s="18">
        <f t="shared" si="7"/>
        <v>12579.999999999985</v>
      </c>
      <c r="L35" s="18">
        <f t="shared" si="7"/>
        <v>12579.999999999985</v>
      </c>
      <c r="M35" s="18">
        <f t="shared" si="7"/>
        <v>12579.999999999985</v>
      </c>
      <c r="N35" s="18">
        <f t="shared" si="7"/>
        <v>-139430.00000000006</v>
      </c>
      <c r="O35" s="22">
        <f>O16-O34</f>
        <v>20000</v>
      </c>
    </row>
    <row r="36" spans="2:15" ht="15.75" customHeight="1" x14ac:dyDescent="0.2">
      <c r="B36" s="30" t="s">
        <v>43</v>
      </c>
      <c r="C36" s="21">
        <v>0</v>
      </c>
      <c r="D36" s="21">
        <f>C37</f>
        <v>33630</v>
      </c>
      <c r="E36" s="21">
        <f t="shared" ref="E36:N36" si="8">D37</f>
        <v>46209.999999999985</v>
      </c>
      <c r="F36" s="21">
        <f t="shared" si="8"/>
        <v>58789.999999999971</v>
      </c>
      <c r="G36" s="21">
        <f t="shared" si="8"/>
        <v>71369.999999999956</v>
      </c>
      <c r="H36" s="21">
        <f t="shared" si="8"/>
        <v>83949.999999999942</v>
      </c>
      <c r="I36" s="21">
        <f t="shared" si="8"/>
        <v>96529.999999999927</v>
      </c>
      <c r="J36" s="21">
        <f t="shared" si="8"/>
        <v>109109.99999999991</v>
      </c>
      <c r="K36" s="21">
        <f t="shared" si="8"/>
        <v>121689.9999999999</v>
      </c>
      <c r="L36" s="21">
        <f t="shared" si="8"/>
        <v>134269.99999999988</v>
      </c>
      <c r="M36" s="21">
        <f t="shared" si="8"/>
        <v>146849.99999999988</v>
      </c>
      <c r="N36" s="21">
        <f t="shared" si="8"/>
        <v>159429.99999999988</v>
      </c>
      <c r="O36" s="21">
        <v>0</v>
      </c>
    </row>
    <row r="37" spans="2:15" ht="15.75" customHeight="1" thickBot="1" x14ac:dyDescent="0.25">
      <c r="B37" s="33" t="s">
        <v>44</v>
      </c>
      <c r="C37" s="34">
        <f>SUM(C35:C36)</f>
        <v>33630</v>
      </c>
      <c r="D37" s="34">
        <f t="shared" ref="D37:N37" si="9">SUM(D35:D36)</f>
        <v>46209.999999999985</v>
      </c>
      <c r="E37" s="34">
        <f t="shared" si="9"/>
        <v>58789.999999999971</v>
      </c>
      <c r="F37" s="34">
        <f t="shared" si="9"/>
        <v>71369.999999999956</v>
      </c>
      <c r="G37" s="34">
        <f t="shared" si="9"/>
        <v>83949.999999999942</v>
      </c>
      <c r="H37" s="34">
        <f t="shared" si="9"/>
        <v>96529.999999999927</v>
      </c>
      <c r="I37" s="34">
        <f t="shared" si="9"/>
        <v>109109.99999999991</v>
      </c>
      <c r="J37" s="34">
        <f t="shared" si="9"/>
        <v>121689.9999999999</v>
      </c>
      <c r="K37" s="34">
        <f t="shared" si="9"/>
        <v>134269.99999999988</v>
      </c>
      <c r="L37" s="34">
        <f t="shared" si="9"/>
        <v>146849.99999999988</v>
      </c>
      <c r="M37" s="34">
        <f t="shared" si="9"/>
        <v>159429.99999999988</v>
      </c>
      <c r="N37" s="34">
        <f t="shared" si="9"/>
        <v>19999.999999999825</v>
      </c>
      <c r="O37" s="34">
        <f>SUM(O35:O36)</f>
        <v>20000</v>
      </c>
    </row>
    <row r="38" spans="2:15" ht="15.75" customHeight="1" thickTop="1" x14ac:dyDescent="0.2"/>
    <row r="39" spans="2:15" ht="15.75" customHeight="1" x14ac:dyDescent="0.2">
      <c r="B39" s="61" t="s">
        <v>135</v>
      </c>
      <c r="N39" s="3" t="s">
        <v>139</v>
      </c>
    </row>
    <row r="40" spans="2:15" ht="15.75" customHeight="1" x14ac:dyDescent="0.2">
      <c r="B40" s="61"/>
      <c r="N40" s="3" t="s">
        <v>140</v>
      </c>
    </row>
    <row r="41" spans="2:15" ht="15.75" customHeight="1" x14ac:dyDescent="0.2">
      <c r="B41" s="61"/>
      <c r="G41" s="3" t="s">
        <v>141</v>
      </c>
      <c r="N41" s="52" t="s">
        <v>145</v>
      </c>
    </row>
    <row r="42" spans="2:15" ht="15.75" customHeight="1" x14ac:dyDescent="0.2">
      <c r="B42" s="61"/>
      <c r="G42" s="3" t="s">
        <v>142</v>
      </c>
    </row>
    <row r="43" spans="2:15" ht="15.75" customHeight="1" x14ac:dyDescent="0.2">
      <c r="B43" s="61"/>
      <c r="C43" s="25"/>
      <c r="G43" s="3" t="s">
        <v>143</v>
      </c>
    </row>
    <row r="44" spans="2:15" ht="15.75" customHeight="1" x14ac:dyDescent="0.2">
      <c r="G44" s="3" t="s">
        <v>144</v>
      </c>
    </row>
  </sheetData>
  <mergeCells count="5">
    <mergeCell ref="B2:O2"/>
    <mergeCell ref="B4:O4"/>
    <mergeCell ref="B5:O5"/>
    <mergeCell ref="B6:O6"/>
    <mergeCell ref="B39:B43"/>
  </mergeCells>
  <phoneticPr fontId="0" type="noConversion"/>
  <pageMargins left="0.19685039370078741" right="0.19685039370078741" top="0.98425196850393704" bottom="0.98425196850393704" header="0.51181102362204722" footer="0.51181102362204722"/>
  <pageSetup paperSize="5" scale="74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O35"/>
  <sheetViews>
    <sheetView topLeftCell="G1" workbookViewId="0">
      <selection activeCell="N25" sqref="N25"/>
    </sheetView>
  </sheetViews>
  <sheetFormatPr baseColWidth="10" defaultColWidth="9.1640625" defaultRowHeight="15.75" customHeight="1" x14ac:dyDescent="0.2"/>
  <cols>
    <col min="1" max="1" width="3.6640625" style="3" customWidth="1"/>
    <col min="2" max="2" width="24.33203125" style="3" customWidth="1"/>
    <col min="3" max="15" width="14.33203125" style="3" customWidth="1"/>
    <col min="16" max="16" width="3.6640625" style="3" customWidth="1"/>
    <col min="17" max="16384" width="9.1640625" style="3"/>
  </cols>
  <sheetData>
    <row r="1" spans="2:15" s="1" customFormat="1" ht="15.75" customHeight="1" x14ac:dyDescent="0.2"/>
    <row r="2" spans="2:15" ht="15.75" customHeight="1" x14ac:dyDescent="0.2">
      <c r="B2" s="57" t="s">
        <v>1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2:15" ht="4" customHeight="1" x14ac:dyDescent="0.2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2:15" ht="15.75" customHeight="1" x14ac:dyDescent="0.2">
      <c r="B4" s="57" t="s">
        <v>45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2:15" ht="4" customHeight="1" x14ac:dyDescent="0.2"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</row>
    <row r="6" spans="2:15" ht="15.75" customHeight="1" x14ac:dyDescent="0.2">
      <c r="B6" s="57" t="s">
        <v>7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2:15" ht="6" customHeight="1" x14ac:dyDescent="0.2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2:15" ht="15.75" customHeight="1" x14ac:dyDescent="0.2">
      <c r="B8" s="4"/>
      <c r="C8" s="17" t="s">
        <v>19</v>
      </c>
      <c r="D8" s="17" t="s">
        <v>20</v>
      </c>
      <c r="E8" s="17" t="s">
        <v>21</v>
      </c>
      <c r="F8" s="17" t="s">
        <v>22</v>
      </c>
      <c r="G8" s="17" t="s">
        <v>23</v>
      </c>
      <c r="H8" s="17" t="s">
        <v>24</v>
      </c>
      <c r="I8" s="17" t="s">
        <v>25</v>
      </c>
      <c r="J8" s="17" t="s">
        <v>26</v>
      </c>
      <c r="K8" s="17" t="s">
        <v>27</v>
      </c>
      <c r="L8" s="17" t="s">
        <v>28</v>
      </c>
      <c r="M8" s="17" t="s">
        <v>29</v>
      </c>
      <c r="N8" s="17" t="s">
        <v>30</v>
      </c>
      <c r="O8" s="17" t="s">
        <v>31</v>
      </c>
    </row>
    <row r="9" spans="2:15" ht="15.75" customHeight="1" x14ac:dyDescent="0.2">
      <c r="B9" s="27" t="s">
        <v>17</v>
      </c>
      <c r="C9" s="43">
        <f>IS!$D$12/12</f>
        <v>116666.66666666667</v>
      </c>
      <c r="D9" s="43">
        <f>IS!$D$12/12</f>
        <v>116666.66666666667</v>
      </c>
      <c r="E9" s="43">
        <f>IS!$D$12/12</f>
        <v>116666.66666666667</v>
      </c>
      <c r="F9" s="43">
        <f>IS!$D$12/12</f>
        <v>116666.66666666667</v>
      </c>
      <c r="G9" s="43">
        <f>IS!$D$12/12</f>
        <v>116666.66666666667</v>
      </c>
      <c r="H9" s="43">
        <f>IS!$D$12/12</f>
        <v>116666.66666666667</v>
      </c>
      <c r="I9" s="43">
        <f>IS!$D$12/12</f>
        <v>116666.66666666667</v>
      </c>
      <c r="J9" s="43">
        <f>IS!$D$12/12</f>
        <v>116666.66666666667</v>
      </c>
      <c r="K9" s="43">
        <f>IS!$D$12/12</f>
        <v>116666.66666666667</v>
      </c>
      <c r="L9" s="43">
        <f>IS!$D$12/12</f>
        <v>116666.66666666667</v>
      </c>
      <c r="M9" s="43">
        <f>IS!$D$12/12</f>
        <v>116666.66666666667</v>
      </c>
      <c r="N9" s="43">
        <f>IS!$D$12/12</f>
        <v>116666.66666666667</v>
      </c>
      <c r="O9" s="18">
        <f>SUM(C9:N9)</f>
        <v>1400000.0000000002</v>
      </c>
    </row>
    <row r="10" spans="2:15" ht="6" customHeight="1" x14ac:dyDescent="0.2">
      <c r="B10" s="2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  <c r="O10" s="18"/>
    </row>
    <row r="11" spans="2:15" ht="15.75" customHeight="1" x14ac:dyDescent="0.2">
      <c r="B11" s="29" t="s">
        <v>32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18"/>
    </row>
    <row r="12" spans="2:15" ht="15.75" customHeight="1" x14ac:dyDescent="0.2">
      <c r="B12" s="28" t="s">
        <v>33</v>
      </c>
      <c r="C12" s="18">
        <f>C9-(C9*60%*5%)</f>
        <v>113166.66666666667</v>
      </c>
      <c r="D12" s="18">
        <f t="shared" ref="D12:N12" si="0">D9-(D9*60%*5%)</f>
        <v>113166.66666666667</v>
      </c>
      <c r="E12" s="18">
        <f t="shared" si="0"/>
        <v>113166.66666666667</v>
      </c>
      <c r="F12" s="18">
        <f t="shared" si="0"/>
        <v>113166.66666666667</v>
      </c>
      <c r="G12" s="18">
        <f t="shared" si="0"/>
        <v>113166.66666666667</v>
      </c>
      <c r="H12" s="18">
        <f t="shared" si="0"/>
        <v>113166.66666666667</v>
      </c>
      <c r="I12" s="18">
        <f t="shared" si="0"/>
        <v>113166.66666666667</v>
      </c>
      <c r="J12" s="18">
        <f t="shared" si="0"/>
        <v>113166.66666666667</v>
      </c>
      <c r="K12" s="18">
        <f t="shared" si="0"/>
        <v>113166.66666666667</v>
      </c>
      <c r="L12" s="18">
        <f t="shared" si="0"/>
        <v>113166.66666666667</v>
      </c>
      <c r="M12" s="18">
        <f t="shared" si="0"/>
        <v>113166.66666666667</v>
      </c>
      <c r="N12" s="18">
        <f t="shared" si="0"/>
        <v>113166.66666666667</v>
      </c>
      <c r="O12" s="18">
        <f t="shared" ref="O12:O13" si="1">SUM(C12:N12)</f>
        <v>1358000</v>
      </c>
    </row>
    <row r="13" spans="2:15" ht="15.75" customHeight="1" x14ac:dyDescent="0.2">
      <c r="B13" s="30" t="s">
        <v>84</v>
      </c>
      <c r="C13" s="21">
        <f>'CB Yr.1'!N9*60%*5%</f>
        <v>3200</v>
      </c>
      <c r="D13" s="21">
        <f>C9*60%*5%</f>
        <v>3500</v>
      </c>
      <c r="E13" s="21">
        <f t="shared" ref="E13:N13" si="2">D9*60%*5%</f>
        <v>3500</v>
      </c>
      <c r="F13" s="21">
        <f t="shared" si="2"/>
        <v>3500</v>
      </c>
      <c r="G13" s="21">
        <f t="shared" si="2"/>
        <v>3500</v>
      </c>
      <c r="H13" s="21">
        <f t="shared" si="2"/>
        <v>3500</v>
      </c>
      <c r="I13" s="21">
        <f t="shared" si="2"/>
        <v>3500</v>
      </c>
      <c r="J13" s="21">
        <f t="shared" si="2"/>
        <v>3500</v>
      </c>
      <c r="K13" s="21">
        <f t="shared" si="2"/>
        <v>3500</v>
      </c>
      <c r="L13" s="21">
        <f t="shared" si="2"/>
        <v>3500</v>
      </c>
      <c r="M13" s="21">
        <f t="shared" si="2"/>
        <v>3500</v>
      </c>
      <c r="N13" s="21">
        <f t="shared" si="2"/>
        <v>3500</v>
      </c>
      <c r="O13" s="24">
        <f t="shared" si="1"/>
        <v>41700</v>
      </c>
    </row>
    <row r="14" spans="2:15" ht="15.75" customHeight="1" x14ac:dyDescent="0.2">
      <c r="B14" s="28" t="s">
        <v>35</v>
      </c>
      <c r="C14" s="18">
        <f>SUM(C12,C13)</f>
        <v>116366.66666666667</v>
      </c>
      <c r="D14" s="18">
        <f t="shared" ref="D14:N14" si="3">SUM(D12,D13)</f>
        <v>116666.66666666667</v>
      </c>
      <c r="E14" s="18">
        <f t="shared" si="3"/>
        <v>116666.66666666667</v>
      </c>
      <c r="F14" s="18">
        <f t="shared" si="3"/>
        <v>116666.66666666667</v>
      </c>
      <c r="G14" s="18">
        <f t="shared" si="3"/>
        <v>116666.66666666667</v>
      </c>
      <c r="H14" s="18">
        <f t="shared" si="3"/>
        <v>116666.66666666667</v>
      </c>
      <c r="I14" s="18">
        <f t="shared" si="3"/>
        <v>116666.66666666667</v>
      </c>
      <c r="J14" s="18">
        <f t="shared" si="3"/>
        <v>116666.66666666667</v>
      </c>
      <c r="K14" s="18">
        <f t="shared" si="3"/>
        <v>116666.66666666667</v>
      </c>
      <c r="L14" s="18">
        <f t="shared" si="3"/>
        <v>116666.66666666667</v>
      </c>
      <c r="M14" s="18">
        <f t="shared" si="3"/>
        <v>116666.66666666667</v>
      </c>
      <c r="N14" s="18">
        <f t="shared" si="3"/>
        <v>116666.66666666667</v>
      </c>
      <c r="O14" s="18">
        <f>SUM(O12:O13)</f>
        <v>1399700</v>
      </c>
    </row>
    <row r="15" spans="2:15" ht="6" customHeight="1" x14ac:dyDescent="0.2">
      <c r="B15" s="28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20"/>
      <c r="O15" s="19"/>
    </row>
    <row r="16" spans="2:15" ht="15.75" customHeight="1" x14ac:dyDescent="0.2">
      <c r="B16" s="29" t="s">
        <v>36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20"/>
      <c r="O16" s="19"/>
    </row>
    <row r="17" spans="2:15" ht="15.75" customHeight="1" x14ac:dyDescent="0.2">
      <c r="B17" s="28" t="s">
        <v>120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2:15" ht="15.75" customHeight="1" x14ac:dyDescent="0.2">
      <c r="B18" s="46" t="s">
        <v>37</v>
      </c>
      <c r="C18" s="19">
        <f>VC!$C$14*'CB Yr. 2'!C9</f>
        <v>76650.000000000015</v>
      </c>
      <c r="D18" s="19">
        <f>VC!$C$14*'CB Yr. 2'!D9</f>
        <v>76650.000000000015</v>
      </c>
      <c r="E18" s="19">
        <f>VC!$C$14*'CB Yr. 2'!E9</f>
        <v>76650.000000000015</v>
      </c>
      <c r="F18" s="19">
        <f>VC!$C$14*'CB Yr. 2'!F9</f>
        <v>76650.000000000015</v>
      </c>
      <c r="G18" s="19">
        <f>VC!$C$14*'CB Yr. 2'!G9</f>
        <v>76650.000000000015</v>
      </c>
      <c r="H18" s="19">
        <f>VC!$C$14*'CB Yr. 2'!H9</f>
        <v>76650.000000000015</v>
      </c>
      <c r="I18" s="19">
        <f>VC!$C$14*'CB Yr. 2'!I9</f>
        <v>76650.000000000015</v>
      </c>
      <c r="J18" s="19">
        <f>VC!$C$14*'CB Yr. 2'!J9</f>
        <v>76650.000000000015</v>
      </c>
      <c r="K18" s="19">
        <f>VC!$C$14*'CB Yr. 2'!K9</f>
        <v>76650.000000000015</v>
      </c>
      <c r="L18" s="19">
        <f>VC!$C$14*'CB Yr. 2'!L9</f>
        <v>76650.000000000015</v>
      </c>
      <c r="M18" s="19">
        <f>VC!$C$14*'CB Yr. 2'!M9</f>
        <v>76650.000000000015</v>
      </c>
      <c r="N18" s="19">
        <f>VC!$C$14*'CB Yr. 2'!N9</f>
        <v>76650.000000000015</v>
      </c>
      <c r="O18" s="18">
        <f t="shared" ref="O18:O25" si="4">SUM(C18:N18)</f>
        <v>919800.00000000012</v>
      </c>
    </row>
    <row r="19" spans="2:15" ht="15.75" customHeight="1" x14ac:dyDescent="0.2">
      <c r="B19" s="46" t="s">
        <v>118</v>
      </c>
      <c r="C19" s="45">
        <f>FC!$D$13/12</f>
        <v>15716.666666666666</v>
      </c>
      <c r="D19" s="45">
        <f>FC!$D$13/12</f>
        <v>15716.666666666666</v>
      </c>
      <c r="E19" s="45">
        <f>FC!$D$13/12</f>
        <v>15716.666666666666</v>
      </c>
      <c r="F19" s="45">
        <f>FC!$D$13/12</f>
        <v>15716.666666666666</v>
      </c>
      <c r="G19" s="45">
        <f>FC!$D$13/12</f>
        <v>15716.666666666666</v>
      </c>
      <c r="H19" s="45">
        <f>FC!$D$13/12</f>
        <v>15716.666666666666</v>
      </c>
      <c r="I19" s="45">
        <f>FC!$D$13/12</f>
        <v>15716.666666666666</v>
      </c>
      <c r="J19" s="45">
        <f>FC!$D$13/12</f>
        <v>15716.666666666666</v>
      </c>
      <c r="K19" s="45">
        <f>FC!$D$13/12</f>
        <v>15716.666666666666</v>
      </c>
      <c r="L19" s="45">
        <f>FC!$D$13/12</f>
        <v>15716.666666666666</v>
      </c>
      <c r="M19" s="45">
        <f>FC!$D$13/12</f>
        <v>15716.666666666666</v>
      </c>
      <c r="N19" s="45">
        <f>FC!$D$13/12</f>
        <v>15716.666666666666</v>
      </c>
      <c r="O19" s="18">
        <f t="shared" si="4"/>
        <v>188599.99999999997</v>
      </c>
    </row>
    <row r="20" spans="2:15" ht="15.75" customHeight="1" x14ac:dyDescent="0.2">
      <c r="B20" s="46" t="s">
        <v>10</v>
      </c>
      <c r="C20" s="45">
        <f>IS!$D$19/12</f>
        <v>1826.5999999999997</v>
      </c>
      <c r="D20" s="45">
        <f>IS!$D$19/12</f>
        <v>1826.5999999999997</v>
      </c>
      <c r="E20" s="45">
        <f>IS!$D$19/12</f>
        <v>1826.5999999999997</v>
      </c>
      <c r="F20" s="45">
        <f>IS!$D$19/12</f>
        <v>1826.5999999999997</v>
      </c>
      <c r="G20" s="45">
        <f>IS!$D$19/12</f>
        <v>1826.5999999999997</v>
      </c>
      <c r="H20" s="45">
        <f>IS!$D$19/12</f>
        <v>1826.5999999999997</v>
      </c>
      <c r="I20" s="45">
        <f>IS!$D$19/12</f>
        <v>1826.5999999999997</v>
      </c>
      <c r="J20" s="45">
        <f>IS!$D$19/12</f>
        <v>1826.5999999999997</v>
      </c>
      <c r="K20" s="45">
        <f>IS!$D$19/12</f>
        <v>1826.5999999999997</v>
      </c>
      <c r="L20" s="45">
        <f>IS!$D$19/12</f>
        <v>1826.5999999999997</v>
      </c>
      <c r="M20" s="45">
        <f>IS!$D$19/12</f>
        <v>1826.5999999999997</v>
      </c>
      <c r="N20" s="45">
        <f>IS!$D$19/12</f>
        <v>1826.5999999999997</v>
      </c>
      <c r="O20" s="18">
        <f t="shared" si="4"/>
        <v>21919.199999999993</v>
      </c>
    </row>
    <row r="21" spans="2:15" ht="15.75" customHeight="1" x14ac:dyDescent="0.2">
      <c r="B21" s="46" t="s">
        <v>119</v>
      </c>
      <c r="C21" s="19">
        <f>FC!$C$20/12</f>
        <v>5450</v>
      </c>
      <c r="D21" s="45">
        <f>FC!$D$20/12</f>
        <v>5616.666666666667</v>
      </c>
      <c r="E21" s="45">
        <f>FC!$D$20/12</f>
        <v>5616.666666666667</v>
      </c>
      <c r="F21" s="45">
        <f>FC!$D$20/12</f>
        <v>5616.666666666667</v>
      </c>
      <c r="G21" s="45">
        <f>FC!$D$20/12</f>
        <v>5616.666666666667</v>
      </c>
      <c r="H21" s="45">
        <f>FC!$D$20/12</f>
        <v>5616.666666666667</v>
      </c>
      <c r="I21" s="45">
        <f>FC!$D$20/12</f>
        <v>5616.666666666667</v>
      </c>
      <c r="J21" s="45">
        <f>FC!$D$20/12</f>
        <v>5616.666666666667</v>
      </c>
      <c r="K21" s="45">
        <f>FC!$D$20/12</f>
        <v>5616.666666666667</v>
      </c>
      <c r="L21" s="45">
        <f>FC!$D$20/12</f>
        <v>5616.666666666667</v>
      </c>
      <c r="M21" s="45">
        <f>FC!$D$20/12</f>
        <v>5616.666666666667</v>
      </c>
      <c r="N21" s="45">
        <f>FC!$D$20/12</f>
        <v>5616.666666666667</v>
      </c>
      <c r="O21" s="18">
        <f t="shared" si="4"/>
        <v>67233.333333333328</v>
      </c>
    </row>
    <row r="22" spans="2:15" ht="15.75" customHeight="1" x14ac:dyDescent="0.2">
      <c r="B22" s="46" t="s">
        <v>0</v>
      </c>
      <c r="C22" s="19">
        <v>1200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8">
        <f t="shared" si="4"/>
        <v>1200</v>
      </c>
    </row>
    <row r="23" spans="2:15" ht="15.75" customHeight="1" x14ac:dyDescent="0.2">
      <c r="B23" s="46" t="s">
        <v>60</v>
      </c>
      <c r="C23" s="19"/>
      <c r="D23" s="19">
        <f>FC!D24</f>
        <v>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8">
        <f t="shared" si="4"/>
        <v>0</v>
      </c>
    </row>
    <row r="24" spans="2:15" ht="15.75" customHeight="1" x14ac:dyDescent="0.2">
      <c r="B24" s="28" t="s">
        <v>80</v>
      </c>
      <c r="C24" s="19"/>
      <c r="D24" s="19">
        <f>IS!$C$21</f>
        <v>54.799999999953435</v>
      </c>
      <c r="E24" s="19"/>
      <c r="F24" s="19"/>
      <c r="G24" s="19"/>
      <c r="H24" s="19"/>
      <c r="I24" s="19"/>
      <c r="J24" s="19"/>
      <c r="K24" s="19"/>
      <c r="L24" s="19"/>
      <c r="M24" s="19"/>
      <c r="N24" s="20"/>
      <c r="O24" s="18">
        <f t="shared" si="4"/>
        <v>54.799999999953435</v>
      </c>
    </row>
    <row r="25" spans="2:15" ht="15.75" customHeight="1" x14ac:dyDescent="0.2">
      <c r="B25" s="30" t="s">
        <v>40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3">
        <v>200892.66666666666</v>
      </c>
      <c r="O25" s="24">
        <f t="shared" si="4"/>
        <v>200892.66666666666</v>
      </c>
    </row>
    <row r="26" spans="2:15" ht="15.75" customHeight="1" x14ac:dyDescent="0.2">
      <c r="B26" s="30" t="s">
        <v>41</v>
      </c>
      <c r="C26" s="24">
        <f>SUM(C18:C25)</f>
        <v>100843.26666666669</v>
      </c>
      <c r="D26" s="24">
        <f t="shared" ref="D26:N26" si="5">SUM(D18:D25)</f>
        <v>99864.733333333323</v>
      </c>
      <c r="E26" s="24">
        <f t="shared" si="5"/>
        <v>99809.933333333363</v>
      </c>
      <c r="F26" s="24">
        <f t="shared" si="5"/>
        <v>99809.933333333363</v>
      </c>
      <c r="G26" s="24">
        <f t="shared" si="5"/>
        <v>99809.933333333363</v>
      </c>
      <c r="H26" s="24">
        <f t="shared" si="5"/>
        <v>99809.933333333363</v>
      </c>
      <c r="I26" s="24">
        <f t="shared" si="5"/>
        <v>99809.933333333363</v>
      </c>
      <c r="J26" s="24">
        <f t="shared" si="5"/>
        <v>99809.933333333363</v>
      </c>
      <c r="K26" s="24">
        <f t="shared" si="5"/>
        <v>99809.933333333363</v>
      </c>
      <c r="L26" s="24">
        <f t="shared" si="5"/>
        <v>99809.933333333363</v>
      </c>
      <c r="M26" s="24">
        <f t="shared" si="5"/>
        <v>99809.933333333363</v>
      </c>
      <c r="N26" s="24">
        <f t="shared" si="5"/>
        <v>300702.60000000003</v>
      </c>
      <c r="O26" s="24">
        <f>SUM(O18:O25)</f>
        <v>1399700</v>
      </c>
    </row>
    <row r="27" spans="2:15" ht="15.75" customHeight="1" x14ac:dyDescent="0.2">
      <c r="B27" s="28" t="s">
        <v>42</v>
      </c>
      <c r="C27" s="18">
        <f>C14-C26</f>
        <v>15523.39999999998</v>
      </c>
      <c r="D27" s="18">
        <f t="shared" ref="D27:O27" si="6">D14-D26</f>
        <v>16801.933333333349</v>
      </c>
      <c r="E27" s="18">
        <f t="shared" si="6"/>
        <v>16856.733333333308</v>
      </c>
      <c r="F27" s="18">
        <f t="shared" si="6"/>
        <v>16856.733333333308</v>
      </c>
      <c r="G27" s="18">
        <f t="shared" si="6"/>
        <v>16856.733333333308</v>
      </c>
      <c r="H27" s="18">
        <f t="shared" si="6"/>
        <v>16856.733333333308</v>
      </c>
      <c r="I27" s="18">
        <f t="shared" si="6"/>
        <v>16856.733333333308</v>
      </c>
      <c r="J27" s="18">
        <f t="shared" si="6"/>
        <v>16856.733333333308</v>
      </c>
      <c r="K27" s="18">
        <f t="shared" si="6"/>
        <v>16856.733333333308</v>
      </c>
      <c r="L27" s="18">
        <f t="shared" si="6"/>
        <v>16856.733333333308</v>
      </c>
      <c r="M27" s="18">
        <f t="shared" si="6"/>
        <v>16856.733333333308</v>
      </c>
      <c r="N27" s="18">
        <f t="shared" si="6"/>
        <v>-184035.93333333335</v>
      </c>
      <c r="O27" s="18">
        <f t="shared" si="6"/>
        <v>0</v>
      </c>
    </row>
    <row r="28" spans="2:15" ht="15.75" customHeight="1" x14ac:dyDescent="0.2">
      <c r="B28" s="30" t="s">
        <v>43</v>
      </c>
      <c r="C28" s="21">
        <f>BS!D8</f>
        <v>20000</v>
      </c>
      <c r="D28" s="21">
        <f>C29</f>
        <v>35523.39999999998</v>
      </c>
      <c r="E28" s="21">
        <f t="shared" ref="E28:N28" si="7">D29</f>
        <v>52325.333333333328</v>
      </c>
      <c r="F28" s="21">
        <f t="shared" si="7"/>
        <v>69182.066666666637</v>
      </c>
      <c r="G28" s="21">
        <f t="shared" si="7"/>
        <v>86038.799999999945</v>
      </c>
      <c r="H28" s="21">
        <f t="shared" si="7"/>
        <v>102895.53333333325</v>
      </c>
      <c r="I28" s="21">
        <f t="shared" si="7"/>
        <v>119752.26666666656</v>
      </c>
      <c r="J28" s="21">
        <f t="shared" si="7"/>
        <v>136608.99999999988</v>
      </c>
      <c r="K28" s="21">
        <f t="shared" si="7"/>
        <v>153465.73333333319</v>
      </c>
      <c r="L28" s="21">
        <f t="shared" si="7"/>
        <v>170322.4666666665</v>
      </c>
      <c r="M28" s="21">
        <f t="shared" si="7"/>
        <v>187179.19999999981</v>
      </c>
      <c r="N28" s="21">
        <f t="shared" si="7"/>
        <v>204035.93333333312</v>
      </c>
      <c r="O28" s="21">
        <f>BS!D8</f>
        <v>20000</v>
      </c>
    </row>
    <row r="29" spans="2:15" ht="15.75" customHeight="1" thickBot="1" x14ac:dyDescent="0.25">
      <c r="B29" s="33" t="s">
        <v>44</v>
      </c>
      <c r="C29" s="34">
        <f>SUM(C27:C28)</f>
        <v>35523.39999999998</v>
      </c>
      <c r="D29" s="34">
        <f t="shared" ref="D29:O29" si="8">SUM(D27:D28)</f>
        <v>52325.333333333328</v>
      </c>
      <c r="E29" s="34">
        <f t="shared" si="8"/>
        <v>69182.066666666637</v>
      </c>
      <c r="F29" s="34">
        <f t="shared" si="8"/>
        <v>86038.799999999945</v>
      </c>
      <c r="G29" s="34">
        <f t="shared" si="8"/>
        <v>102895.53333333325</v>
      </c>
      <c r="H29" s="34">
        <f t="shared" si="8"/>
        <v>119752.26666666656</v>
      </c>
      <c r="I29" s="34">
        <f t="shared" si="8"/>
        <v>136608.99999999988</v>
      </c>
      <c r="J29" s="34">
        <f t="shared" si="8"/>
        <v>153465.73333333319</v>
      </c>
      <c r="K29" s="34">
        <f t="shared" si="8"/>
        <v>170322.4666666665</v>
      </c>
      <c r="L29" s="34">
        <f t="shared" si="8"/>
        <v>187179.19999999981</v>
      </c>
      <c r="M29" s="34">
        <f t="shared" si="8"/>
        <v>204035.93333333312</v>
      </c>
      <c r="N29" s="34">
        <f t="shared" si="8"/>
        <v>19999.999999999767</v>
      </c>
      <c r="O29" s="34">
        <f t="shared" si="8"/>
        <v>20000</v>
      </c>
    </row>
    <row r="30" spans="2:15" ht="15.75" customHeight="1" thickTop="1" x14ac:dyDescent="0.2"/>
    <row r="35" spans="3:3" ht="15.75" customHeight="1" x14ac:dyDescent="0.2">
      <c r="C35" s="25"/>
    </row>
  </sheetData>
  <mergeCells count="4">
    <mergeCell ref="B2:O2"/>
    <mergeCell ref="B4:O4"/>
    <mergeCell ref="B5:O5"/>
    <mergeCell ref="B6:O6"/>
  </mergeCells>
  <phoneticPr fontId="0" type="noConversion"/>
  <pageMargins left="0.19685039370078741" right="0.19685039370078741" top="0.98425196850393704" bottom="0.98425196850393704" header="0.51181102362204722" footer="0.51181102362204722"/>
  <pageSetup paperSize="5" scale="81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O35"/>
  <sheetViews>
    <sheetView workbookViewId="0">
      <selection activeCell="D24" sqref="D24"/>
    </sheetView>
  </sheetViews>
  <sheetFormatPr baseColWidth="10" defaultColWidth="9.1640625" defaultRowHeight="15.75" customHeight="1" x14ac:dyDescent="0.2"/>
  <cols>
    <col min="1" max="1" width="3.6640625" style="3" customWidth="1"/>
    <col min="2" max="2" width="24.33203125" style="3" customWidth="1"/>
    <col min="3" max="15" width="14.33203125" style="3" customWidth="1"/>
    <col min="16" max="16" width="3.6640625" style="3" customWidth="1"/>
    <col min="17" max="16384" width="9.1640625" style="3"/>
  </cols>
  <sheetData>
    <row r="1" spans="2:15" s="1" customFormat="1" ht="15.75" customHeight="1" x14ac:dyDescent="0.2"/>
    <row r="2" spans="2:15" ht="15.75" customHeight="1" x14ac:dyDescent="0.2">
      <c r="B2" s="57" t="s">
        <v>1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2:15" ht="4" customHeight="1" x14ac:dyDescent="0.2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2:15" ht="15.75" customHeight="1" x14ac:dyDescent="0.2">
      <c r="B4" s="57" t="s">
        <v>45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2:15" ht="4" customHeight="1" x14ac:dyDescent="0.2"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</row>
    <row r="6" spans="2:15" ht="15.75" customHeight="1" x14ac:dyDescent="0.2">
      <c r="B6" s="57" t="s">
        <v>8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2:15" ht="6" customHeight="1" x14ac:dyDescent="0.2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2:15" ht="15.75" customHeight="1" x14ac:dyDescent="0.2">
      <c r="B8" s="4"/>
      <c r="C8" s="17" t="s">
        <v>19</v>
      </c>
      <c r="D8" s="17" t="s">
        <v>20</v>
      </c>
      <c r="E8" s="17" t="s">
        <v>21</v>
      </c>
      <c r="F8" s="17" t="s">
        <v>22</v>
      </c>
      <c r="G8" s="17" t="s">
        <v>23</v>
      </c>
      <c r="H8" s="17" t="s">
        <v>24</v>
      </c>
      <c r="I8" s="17" t="s">
        <v>25</v>
      </c>
      <c r="J8" s="17" t="s">
        <v>26</v>
      </c>
      <c r="K8" s="17" t="s">
        <v>27</v>
      </c>
      <c r="L8" s="17" t="s">
        <v>28</v>
      </c>
      <c r="M8" s="17" t="s">
        <v>29</v>
      </c>
      <c r="N8" s="17" t="s">
        <v>30</v>
      </c>
      <c r="O8" s="17" t="s">
        <v>31</v>
      </c>
    </row>
    <row r="9" spans="2:15" ht="15.75" customHeight="1" x14ac:dyDescent="0.2">
      <c r="B9" s="28" t="s">
        <v>17</v>
      </c>
      <c r="C9" s="43">
        <f>IS!$E$12/12</f>
        <v>126666.66666666667</v>
      </c>
      <c r="D9" s="43">
        <f>IS!$E$12/12</f>
        <v>126666.66666666667</v>
      </c>
      <c r="E9" s="43">
        <f>IS!$E$12/12</f>
        <v>126666.66666666667</v>
      </c>
      <c r="F9" s="43">
        <f>IS!$E$12/12</f>
        <v>126666.66666666667</v>
      </c>
      <c r="G9" s="43">
        <f>IS!$E$12/12</f>
        <v>126666.66666666667</v>
      </c>
      <c r="H9" s="43">
        <f>IS!$E$12/12</f>
        <v>126666.66666666667</v>
      </c>
      <c r="I9" s="43">
        <f>IS!$E$12/12</f>
        <v>126666.66666666667</v>
      </c>
      <c r="J9" s="43">
        <f>IS!$E$12/12</f>
        <v>126666.66666666667</v>
      </c>
      <c r="K9" s="43">
        <f>IS!$E$12/12</f>
        <v>126666.66666666667</v>
      </c>
      <c r="L9" s="43">
        <f>IS!$E$12/12</f>
        <v>126666.66666666667</v>
      </c>
      <c r="M9" s="43">
        <f>IS!$E$12/12</f>
        <v>126666.66666666667</v>
      </c>
      <c r="N9" s="43">
        <f>IS!$E$12/12</f>
        <v>126666.66666666667</v>
      </c>
      <c r="O9" s="18">
        <f>SUM(C9:N9)</f>
        <v>1520000.0000000002</v>
      </c>
    </row>
    <row r="10" spans="2:15" ht="6" customHeight="1" x14ac:dyDescent="0.2">
      <c r="B10" s="2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  <c r="O10" s="19"/>
    </row>
    <row r="11" spans="2:15" ht="15.75" customHeight="1" x14ac:dyDescent="0.2">
      <c r="B11" s="29" t="s">
        <v>32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19"/>
    </row>
    <row r="12" spans="2:15" ht="15.75" customHeight="1" x14ac:dyDescent="0.2">
      <c r="B12" s="28" t="s">
        <v>33</v>
      </c>
      <c r="C12" s="18">
        <f>C9-(C9*60%*5%)</f>
        <v>122866.66666666667</v>
      </c>
      <c r="D12" s="18">
        <f t="shared" ref="D12:N12" si="0">D9-(D9*60%*5%)</f>
        <v>122866.66666666667</v>
      </c>
      <c r="E12" s="18">
        <f t="shared" si="0"/>
        <v>122866.66666666667</v>
      </c>
      <c r="F12" s="18">
        <f t="shared" si="0"/>
        <v>122866.66666666667</v>
      </c>
      <c r="G12" s="18">
        <f t="shared" si="0"/>
        <v>122866.66666666667</v>
      </c>
      <c r="H12" s="18">
        <f t="shared" si="0"/>
        <v>122866.66666666667</v>
      </c>
      <c r="I12" s="18">
        <f t="shared" si="0"/>
        <v>122866.66666666667</v>
      </c>
      <c r="J12" s="18">
        <f t="shared" si="0"/>
        <v>122866.66666666667</v>
      </c>
      <c r="K12" s="18">
        <f t="shared" si="0"/>
        <v>122866.66666666667</v>
      </c>
      <c r="L12" s="18">
        <f t="shared" si="0"/>
        <v>122866.66666666667</v>
      </c>
      <c r="M12" s="18">
        <f t="shared" si="0"/>
        <v>122866.66666666667</v>
      </c>
      <c r="N12" s="18">
        <f t="shared" si="0"/>
        <v>122866.66666666667</v>
      </c>
      <c r="O12" s="18">
        <f>SUM(C12:N12)</f>
        <v>1474400.0000000002</v>
      </c>
    </row>
    <row r="13" spans="2:15" ht="15.75" customHeight="1" x14ac:dyDescent="0.2">
      <c r="B13" s="30" t="s">
        <v>84</v>
      </c>
      <c r="C13" s="21">
        <f>'CB Yr. 2'!N9*60%*5%</f>
        <v>3500</v>
      </c>
      <c r="D13" s="21">
        <f>C9*60%*5%</f>
        <v>3800</v>
      </c>
      <c r="E13" s="21">
        <f t="shared" ref="E13:N13" si="1">D9*60%*5%</f>
        <v>3800</v>
      </c>
      <c r="F13" s="21">
        <f t="shared" si="1"/>
        <v>3800</v>
      </c>
      <c r="G13" s="21">
        <f t="shared" si="1"/>
        <v>3800</v>
      </c>
      <c r="H13" s="21">
        <f t="shared" si="1"/>
        <v>3800</v>
      </c>
      <c r="I13" s="21">
        <f t="shared" si="1"/>
        <v>3800</v>
      </c>
      <c r="J13" s="21">
        <f t="shared" si="1"/>
        <v>3800</v>
      </c>
      <c r="K13" s="21">
        <f t="shared" si="1"/>
        <v>3800</v>
      </c>
      <c r="L13" s="21">
        <f t="shared" si="1"/>
        <v>3800</v>
      </c>
      <c r="M13" s="21">
        <f t="shared" si="1"/>
        <v>3800</v>
      </c>
      <c r="N13" s="21">
        <f t="shared" si="1"/>
        <v>3800</v>
      </c>
      <c r="O13" s="24">
        <f>SUM(C13:N13)</f>
        <v>45300</v>
      </c>
    </row>
    <row r="14" spans="2:15" ht="15.75" customHeight="1" x14ac:dyDescent="0.2">
      <c r="B14" s="28" t="s">
        <v>35</v>
      </c>
      <c r="C14" s="18">
        <f>SUM(C12:C13)</f>
        <v>126366.66666666667</v>
      </c>
      <c r="D14" s="18">
        <f t="shared" ref="D14:N14" si="2">SUM(D12:D13)</f>
        <v>126666.66666666667</v>
      </c>
      <c r="E14" s="18">
        <f t="shared" si="2"/>
        <v>126666.66666666667</v>
      </c>
      <c r="F14" s="18">
        <f t="shared" si="2"/>
        <v>126666.66666666667</v>
      </c>
      <c r="G14" s="18">
        <f t="shared" si="2"/>
        <v>126666.66666666667</v>
      </c>
      <c r="H14" s="18">
        <f t="shared" si="2"/>
        <v>126666.66666666667</v>
      </c>
      <c r="I14" s="18">
        <f t="shared" si="2"/>
        <v>126666.66666666667</v>
      </c>
      <c r="J14" s="18">
        <f t="shared" si="2"/>
        <v>126666.66666666667</v>
      </c>
      <c r="K14" s="18">
        <f t="shared" si="2"/>
        <v>126666.66666666667</v>
      </c>
      <c r="L14" s="18">
        <f t="shared" si="2"/>
        <v>126666.66666666667</v>
      </c>
      <c r="M14" s="18">
        <f t="shared" si="2"/>
        <v>126666.66666666667</v>
      </c>
      <c r="N14" s="18">
        <f t="shared" si="2"/>
        <v>126666.66666666667</v>
      </c>
      <c r="O14" s="18">
        <f>SUM(O12:O13)</f>
        <v>1519700.0000000002</v>
      </c>
    </row>
    <row r="15" spans="2:15" ht="6" customHeight="1" x14ac:dyDescent="0.2">
      <c r="B15" s="28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20"/>
      <c r="O15" s="19"/>
    </row>
    <row r="16" spans="2:15" ht="15.75" customHeight="1" x14ac:dyDescent="0.2">
      <c r="B16" s="29" t="s">
        <v>36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20"/>
      <c r="O16" s="19"/>
    </row>
    <row r="17" spans="2:15" ht="15.75" customHeight="1" x14ac:dyDescent="0.2">
      <c r="B17" s="28" t="s">
        <v>120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2:15" ht="15.75" customHeight="1" x14ac:dyDescent="0.2">
      <c r="B18" s="46" t="s">
        <v>37</v>
      </c>
      <c r="C18" s="19">
        <f>C9*VC!$C$14</f>
        <v>83220.000000000015</v>
      </c>
      <c r="D18" s="19">
        <f>D9*VC!$C$14</f>
        <v>83220.000000000015</v>
      </c>
      <c r="E18" s="19">
        <f>E9*VC!$C$14</f>
        <v>83220.000000000015</v>
      </c>
      <c r="F18" s="19">
        <f>F9*VC!$C$14</f>
        <v>83220.000000000015</v>
      </c>
      <c r="G18" s="19">
        <f>G9*VC!$C$14</f>
        <v>83220.000000000015</v>
      </c>
      <c r="H18" s="19">
        <f>H9*VC!$C$14</f>
        <v>83220.000000000015</v>
      </c>
      <c r="I18" s="19">
        <f>I9*VC!$C$14</f>
        <v>83220.000000000015</v>
      </c>
      <c r="J18" s="19">
        <f>J9*VC!$C$14</f>
        <v>83220.000000000015</v>
      </c>
      <c r="K18" s="19">
        <f>K9*VC!$C$14</f>
        <v>83220.000000000015</v>
      </c>
      <c r="L18" s="19">
        <f>L9*VC!$C$14</f>
        <v>83220.000000000015</v>
      </c>
      <c r="M18" s="19">
        <f>M9*VC!$C$14</f>
        <v>83220.000000000015</v>
      </c>
      <c r="N18" s="19">
        <f>N9*VC!$C$14</f>
        <v>83220.000000000015</v>
      </c>
      <c r="O18" s="22">
        <f>SUM(C18:N18)</f>
        <v>998640.00000000012</v>
      </c>
    </row>
    <row r="19" spans="2:15" ht="15.75" customHeight="1" x14ac:dyDescent="0.2">
      <c r="B19" s="46" t="s">
        <v>118</v>
      </c>
      <c r="C19" s="45">
        <f>FC!$E$13/12</f>
        <v>15716.666666666666</v>
      </c>
      <c r="D19" s="45">
        <f>FC!$E$13/12</f>
        <v>15716.666666666666</v>
      </c>
      <c r="E19" s="45">
        <f>FC!$E$13/12</f>
        <v>15716.666666666666</v>
      </c>
      <c r="F19" s="45">
        <f>FC!$E$13/12</f>
        <v>15716.666666666666</v>
      </c>
      <c r="G19" s="45">
        <f>FC!$E$13/12</f>
        <v>15716.666666666666</v>
      </c>
      <c r="H19" s="45">
        <f>FC!$E$13/12</f>
        <v>15716.666666666666</v>
      </c>
      <c r="I19" s="45">
        <f>FC!$E$13/12</f>
        <v>15716.666666666666</v>
      </c>
      <c r="J19" s="45">
        <f>FC!$E$13/12</f>
        <v>15716.666666666666</v>
      </c>
      <c r="K19" s="45">
        <f>FC!$E$13/12</f>
        <v>15716.666666666666</v>
      </c>
      <c r="L19" s="45">
        <f>FC!$E$13/12</f>
        <v>15716.666666666666</v>
      </c>
      <c r="M19" s="45">
        <f>FC!$E$13/12</f>
        <v>15716.666666666666</v>
      </c>
      <c r="N19" s="45">
        <f>FC!$E$13/12</f>
        <v>15716.666666666666</v>
      </c>
      <c r="O19" s="22">
        <f>SUM(C19:N19)</f>
        <v>188599.99999999997</v>
      </c>
    </row>
    <row r="20" spans="2:15" ht="15.75" customHeight="1" x14ac:dyDescent="0.2">
      <c r="B20" s="46" t="s">
        <v>10</v>
      </c>
      <c r="C20" s="45">
        <f>IS!$E$19/12</f>
        <v>487.31555555555525</v>
      </c>
      <c r="D20" s="45">
        <f>IS!$E$19/12</f>
        <v>487.31555555555525</v>
      </c>
      <c r="E20" s="45">
        <f>IS!$E$19/12</f>
        <v>487.31555555555525</v>
      </c>
      <c r="F20" s="45">
        <f>IS!$E$19/12</f>
        <v>487.31555555555525</v>
      </c>
      <c r="G20" s="45">
        <f>IS!$E$19/12</f>
        <v>487.31555555555525</v>
      </c>
      <c r="H20" s="45">
        <f>IS!$E$19/12</f>
        <v>487.31555555555525</v>
      </c>
      <c r="I20" s="45">
        <f>IS!$E$19/12</f>
        <v>487.31555555555525</v>
      </c>
      <c r="J20" s="45">
        <f>IS!$E$19/12</f>
        <v>487.31555555555525</v>
      </c>
      <c r="K20" s="45">
        <f>IS!$E$19/12</f>
        <v>487.31555555555525</v>
      </c>
      <c r="L20" s="45">
        <f>IS!$E$19/12</f>
        <v>487.31555555555525</v>
      </c>
      <c r="M20" s="45">
        <f>IS!$E$19/12</f>
        <v>487.31555555555525</v>
      </c>
      <c r="N20" s="45">
        <f>IS!$E$19/12</f>
        <v>487.31555555555525</v>
      </c>
      <c r="O20" s="22">
        <f>SUM(C20:N20)</f>
        <v>5847.7866666666623</v>
      </c>
    </row>
    <row r="21" spans="2:15" ht="15.75" customHeight="1" x14ac:dyDescent="0.2">
      <c r="B21" s="46" t="s">
        <v>119</v>
      </c>
      <c r="C21" s="45">
        <f>FC!$D$20/12</f>
        <v>5616.666666666667</v>
      </c>
      <c r="D21" s="47">
        <f>FC!$E$20/12</f>
        <v>5783.333333333333</v>
      </c>
      <c r="E21" s="47">
        <f>FC!$E$20/12</f>
        <v>5783.333333333333</v>
      </c>
      <c r="F21" s="47">
        <f>FC!$E$20/12</f>
        <v>5783.333333333333</v>
      </c>
      <c r="G21" s="47">
        <f>FC!$E$20/12</f>
        <v>5783.333333333333</v>
      </c>
      <c r="H21" s="47">
        <f>FC!$E$20/12</f>
        <v>5783.333333333333</v>
      </c>
      <c r="I21" s="47">
        <f>FC!$E$20/12</f>
        <v>5783.333333333333</v>
      </c>
      <c r="J21" s="47">
        <f>FC!$E$20/12</f>
        <v>5783.333333333333</v>
      </c>
      <c r="K21" s="47">
        <f>FC!$E$20/12</f>
        <v>5783.333333333333</v>
      </c>
      <c r="L21" s="47">
        <f>FC!$E$20/12</f>
        <v>5783.333333333333</v>
      </c>
      <c r="M21" s="47">
        <f>FC!$E$20/12</f>
        <v>5783.333333333333</v>
      </c>
      <c r="N21" s="47">
        <f>FC!$E$20/12</f>
        <v>5783.333333333333</v>
      </c>
      <c r="O21" s="22">
        <f>SUM(C21:N21)</f>
        <v>69233.333333333343</v>
      </c>
    </row>
    <row r="22" spans="2:15" ht="15.75" customHeight="1" x14ac:dyDescent="0.2">
      <c r="B22" s="46" t="s">
        <v>0</v>
      </c>
      <c r="C22" s="19">
        <f>FC!E23</f>
        <v>1200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2">
        <f t="shared" ref="O22:O25" si="3">SUM(C22:N22)</f>
        <v>1200</v>
      </c>
    </row>
    <row r="23" spans="2:15" ht="15.75" customHeight="1" x14ac:dyDescent="0.2">
      <c r="B23" s="46" t="s">
        <v>60</v>
      </c>
      <c r="C23" s="19"/>
      <c r="D23" s="19">
        <f>FC!E24</f>
        <v>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2">
        <f t="shared" si="3"/>
        <v>0</v>
      </c>
    </row>
    <row r="24" spans="2:15" ht="15.75" customHeight="1" x14ac:dyDescent="0.2">
      <c r="B24" s="28" t="s">
        <v>80</v>
      </c>
      <c r="C24" s="19"/>
      <c r="D24" s="19">
        <f>IS!D21</f>
        <v>30238.943999999887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22">
        <f t="shared" si="3"/>
        <v>30238.943999999887</v>
      </c>
    </row>
    <row r="25" spans="2:15" ht="15.75" customHeight="1" x14ac:dyDescent="0.2">
      <c r="B25" s="30" t="s">
        <v>40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3">
        <f>BS!F21</f>
        <v>73097.333333333285</v>
      </c>
      <c r="O25" s="50">
        <f t="shared" si="3"/>
        <v>73097.333333333285</v>
      </c>
    </row>
    <row r="26" spans="2:15" ht="15.75" customHeight="1" x14ac:dyDescent="0.2">
      <c r="B26" s="4" t="s">
        <v>41</v>
      </c>
      <c r="C26" s="24">
        <f>SUM(C18:C25)</f>
        <v>106240.64888888891</v>
      </c>
      <c r="D26" s="24">
        <f t="shared" ref="D26:N26" si="4">SUM(D18:D25)</f>
        <v>135446.25955555547</v>
      </c>
      <c r="E26" s="24">
        <f t="shared" si="4"/>
        <v>105207.31555555557</v>
      </c>
      <c r="F26" s="24">
        <f t="shared" si="4"/>
        <v>105207.31555555557</v>
      </c>
      <c r="G26" s="24">
        <f t="shared" si="4"/>
        <v>105207.31555555557</v>
      </c>
      <c r="H26" s="24">
        <f t="shared" si="4"/>
        <v>105207.31555555557</v>
      </c>
      <c r="I26" s="24">
        <f t="shared" si="4"/>
        <v>105207.31555555557</v>
      </c>
      <c r="J26" s="24">
        <f t="shared" si="4"/>
        <v>105207.31555555557</v>
      </c>
      <c r="K26" s="24">
        <f t="shared" si="4"/>
        <v>105207.31555555557</v>
      </c>
      <c r="L26" s="24">
        <f t="shared" si="4"/>
        <v>105207.31555555557</v>
      </c>
      <c r="M26" s="24">
        <f t="shared" si="4"/>
        <v>105207.31555555557</v>
      </c>
      <c r="N26" s="24">
        <f t="shared" si="4"/>
        <v>178304.64888888886</v>
      </c>
      <c r="O26" s="24">
        <f>SUM(O18:O25)</f>
        <v>1366857.397333333</v>
      </c>
    </row>
    <row r="27" spans="2:15" ht="15.75" customHeight="1" x14ac:dyDescent="0.2">
      <c r="B27" s="28" t="s">
        <v>42</v>
      </c>
      <c r="C27" s="18">
        <f>C14-C26</f>
        <v>20126.017777777757</v>
      </c>
      <c r="D27" s="18">
        <f t="shared" ref="D27:O27" si="5">D14-D26</f>
        <v>-8779.5928888888011</v>
      </c>
      <c r="E27" s="18">
        <f t="shared" si="5"/>
        <v>21459.3511111111</v>
      </c>
      <c r="F27" s="18">
        <f t="shared" si="5"/>
        <v>21459.3511111111</v>
      </c>
      <c r="G27" s="18">
        <f t="shared" si="5"/>
        <v>21459.3511111111</v>
      </c>
      <c r="H27" s="18">
        <f t="shared" si="5"/>
        <v>21459.3511111111</v>
      </c>
      <c r="I27" s="18">
        <f t="shared" si="5"/>
        <v>21459.3511111111</v>
      </c>
      <c r="J27" s="18">
        <f t="shared" si="5"/>
        <v>21459.3511111111</v>
      </c>
      <c r="K27" s="18">
        <f t="shared" si="5"/>
        <v>21459.3511111111</v>
      </c>
      <c r="L27" s="18">
        <f t="shared" si="5"/>
        <v>21459.3511111111</v>
      </c>
      <c r="M27" s="18">
        <f t="shared" si="5"/>
        <v>21459.3511111111</v>
      </c>
      <c r="N27" s="18">
        <f t="shared" si="5"/>
        <v>-51637.982222222185</v>
      </c>
      <c r="O27" s="18">
        <f t="shared" si="5"/>
        <v>152842.6026666672</v>
      </c>
    </row>
    <row r="28" spans="2:15" ht="15.75" customHeight="1" x14ac:dyDescent="0.2">
      <c r="B28" s="28" t="s">
        <v>43</v>
      </c>
      <c r="C28" s="21">
        <f>BS!F8</f>
        <v>20000</v>
      </c>
      <c r="D28" s="21">
        <f>C29</f>
        <v>40126.017777777757</v>
      </c>
      <c r="E28" s="21">
        <f t="shared" ref="E28:N28" si="6">D29</f>
        <v>31346.424888888956</v>
      </c>
      <c r="F28" s="21">
        <f t="shared" si="6"/>
        <v>52805.776000000056</v>
      </c>
      <c r="G28" s="21">
        <f t="shared" si="6"/>
        <v>74265.127111111156</v>
      </c>
      <c r="H28" s="21">
        <f t="shared" si="6"/>
        <v>95724.478222222257</v>
      </c>
      <c r="I28" s="21">
        <f t="shared" si="6"/>
        <v>117183.82933333336</v>
      </c>
      <c r="J28" s="21">
        <f t="shared" si="6"/>
        <v>138643.18044444447</v>
      </c>
      <c r="K28" s="21">
        <f t="shared" si="6"/>
        <v>160102.53155555559</v>
      </c>
      <c r="L28" s="21">
        <f t="shared" si="6"/>
        <v>181561.8826666667</v>
      </c>
      <c r="M28" s="21">
        <f t="shared" si="6"/>
        <v>203021.23377777782</v>
      </c>
      <c r="N28" s="21">
        <f t="shared" si="6"/>
        <v>224480.58488888893</v>
      </c>
      <c r="O28" s="21">
        <f>BS!F8</f>
        <v>20000</v>
      </c>
    </row>
    <row r="29" spans="2:15" ht="15.75" customHeight="1" thickBot="1" x14ac:dyDescent="0.25">
      <c r="B29" s="33" t="s">
        <v>44</v>
      </c>
      <c r="C29" s="34">
        <f>SUM(C27:C28)</f>
        <v>40126.017777777757</v>
      </c>
      <c r="D29" s="34">
        <f t="shared" ref="D29:O29" si="7">SUM(D27:D28)</f>
        <v>31346.424888888956</v>
      </c>
      <c r="E29" s="34">
        <f t="shared" si="7"/>
        <v>52805.776000000056</v>
      </c>
      <c r="F29" s="34">
        <f t="shared" si="7"/>
        <v>74265.127111111156</v>
      </c>
      <c r="G29" s="34">
        <f t="shared" si="7"/>
        <v>95724.478222222257</v>
      </c>
      <c r="H29" s="34">
        <f t="shared" si="7"/>
        <v>117183.82933333336</v>
      </c>
      <c r="I29" s="34">
        <f t="shared" si="7"/>
        <v>138643.18044444447</v>
      </c>
      <c r="J29" s="34">
        <f t="shared" si="7"/>
        <v>160102.53155555559</v>
      </c>
      <c r="K29" s="34">
        <f t="shared" si="7"/>
        <v>181561.8826666667</v>
      </c>
      <c r="L29" s="34">
        <f t="shared" si="7"/>
        <v>203021.23377777782</v>
      </c>
      <c r="M29" s="34">
        <f t="shared" si="7"/>
        <v>224480.58488888893</v>
      </c>
      <c r="N29" s="34">
        <f t="shared" si="7"/>
        <v>172842.60266666673</v>
      </c>
      <c r="O29" s="34">
        <f t="shared" si="7"/>
        <v>172842.6026666672</v>
      </c>
    </row>
    <row r="30" spans="2:15" ht="15.75" customHeight="1" thickTop="1" x14ac:dyDescent="0.2"/>
    <row r="35" spans="3:3" ht="15.75" customHeight="1" x14ac:dyDescent="0.2">
      <c r="C35" s="25"/>
    </row>
  </sheetData>
  <mergeCells count="4">
    <mergeCell ref="B2:O2"/>
    <mergeCell ref="B4:O4"/>
    <mergeCell ref="B5:O5"/>
    <mergeCell ref="B6:O6"/>
  </mergeCells>
  <phoneticPr fontId="0" type="noConversion"/>
  <pageMargins left="0.19685039370078741" right="0.19685039370078741" top="0.98425196850393704" bottom="0.98425196850393704" header="0.51181102362204722" footer="0.51181102362204722"/>
  <pageSetup paperSize="5" scale="81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topLeftCell="B1" zoomScalePageLayoutView="110" workbookViewId="0">
      <selection activeCell="H8" sqref="H8"/>
    </sheetView>
  </sheetViews>
  <sheetFormatPr baseColWidth="10" defaultColWidth="9.1640625" defaultRowHeight="16" x14ac:dyDescent="0.2"/>
  <cols>
    <col min="1" max="1" width="3.6640625" style="3" customWidth="1"/>
    <col min="2" max="2" width="35" style="3" customWidth="1"/>
    <col min="3" max="3" width="11.5" style="3" customWidth="1"/>
    <col min="4" max="4" width="17.1640625" style="3" customWidth="1"/>
    <col min="5" max="5" width="11.5" style="3" customWidth="1"/>
    <col min="6" max="6" width="17.1640625" style="3" customWidth="1"/>
    <col min="7" max="7" width="11.5" style="3" customWidth="1"/>
    <col min="8" max="8" width="17.1640625" style="3" customWidth="1"/>
    <col min="9" max="9" width="3.6640625" style="3" customWidth="1"/>
    <col min="10" max="16384" width="9.1640625" style="3"/>
  </cols>
  <sheetData>
    <row r="1" spans="2:8" s="1" customFormat="1" ht="14" x14ac:dyDescent="0.2"/>
    <row r="2" spans="2:8" x14ac:dyDescent="0.2">
      <c r="B2" s="57" t="s">
        <v>1</v>
      </c>
      <c r="C2" s="57"/>
      <c r="D2" s="57"/>
      <c r="E2" s="57"/>
      <c r="F2" s="57"/>
      <c r="G2" s="57"/>
      <c r="H2" s="57"/>
    </row>
    <row r="3" spans="2:8" ht="4" customHeight="1" x14ac:dyDescent="0.2">
      <c r="B3" s="2"/>
      <c r="C3" s="2"/>
      <c r="D3" s="10"/>
      <c r="E3" s="10"/>
      <c r="F3" s="10"/>
      <c r="G3" s="10"/>
    </row>
    <row r="4" spans="2:8" x14ac:dyDescent="0.2">
      <c r="B4" s="57" t="s">
        <v>124</v>
      </c>
      <c r="C4" s="57"/>
      <c r="D4" s="57"/>
      <c r="E4" s="57"/>
      <c r="F4" s="57"/>
      <c r="G4" s="57"/>
      <c r="H4" s="57"/>
    </row>
    <row r="5" spans="2:8" ht="4.5" customHeight="1" x14ac:dyDescent="0.2">
      <c r="B5" s="1"/>
      <c r="C5" s="1"/>
      <c r="D5" s="1"/>
      <c r="E5" s="1"/>
      <c r="F5" s="1"/>
      <c r="G5" s="1"/>
    </row>
    <row r="6" spans="2:8" x14ac:dyDescent="0.2">
      <c r="B6" s="4"/>
      <c r="C6" s="62" t="s">
        <v>6</v>
      </c>
      <c r="D6" s="63"/>
      <c r="E6" s="62" t="s">
        <v>7</v>
      </c>
      <c r="F6" s="63"/>
      <c r="G6" s="62" t="s">
        <v>8</v>
      </c>
      <c r="H6" s="63"/>
    </row>
    <row r="7" spans="2:8" x14ac:dyDescent="0.2">
      <c r="B7" s="15" t="s">
        <v>46</v>
      </c>
      <c r="C7" s="7"/>
      <c r="E7" s="14"/>
      <c r="F7" s="14"/>
      <c r="G7" s="14"/>
      <c r="H7" s="14"/>
    </row>
    <row r="8" spans="2:8" x14ac:dyDescent="0.2">
      <c r="B8" s="4" t="s">
        <v>87</v>
      </c>
      <c r="C8" s="4"/>
      <c r="D8" s="14">
        <f>'CB Yr.1'!O37</f>
        <v>20000</v>
      </c>
      <c r="E8" s="5"/>
      <c r="F8" s="5">
        <f>'CB Yr. 2'!O29</f>
        <v>20000</v>
      </c>
      <c r="G8" s="5"/>
      <c r="H8" s="5">
        <f>'CB Yr. 3'!O29</f>
        <v>172842.6026666672</v>
      </c>
    </row>
    <row r="9" spans="2:8" x14ac:dyDescent="0.2">
      <c r="B9" s="4" t="s">
        <v>88</v>
      </c>
      <c r="C9" s="4"/>
      <c r="D9" s="45">
        <f>('CB Yr.1'!N9*60%)*5%</f>
        <v>3200</v>
      </c>
      <c r="E9" s="6"/>
      <c r="F9" s="6">
        <f>'CB Yr. 2'!N9*60%*5%</f>
        <v>3500</v>
      </c>
      <c r="G9" s="6"/>
      <c r="H9" s="6">
        <f>'CB Yr. 3'!N9*60%*5%</f>
        <v>3800</v>
      </c>
    </row>
    <row r="10" spans="2:8" x14ac:dyDescent="0.2">
      <c r="B10" s="4" t="s">
        <v>65</v>
      </c>
      <c r="C10" s="4"/>
      <c r="D10" s="6">
        <v>15000</v>
      </c>
      <c r="E10" s="6"/>
      <c r="F10" s="6">
        <f>Investments!C8</f>
        <v>15000</v>
      </c>
      <c r="G10" s="6"/>
      <c r="H10" s="6">
        <f>Investments!C8</f>
        <v>15000</v>
      </c>
    </row>
    <row r="11" spans="2:8" x14ac:dyDescent="0.2">
      <c r="B11" s="4" t="s">
        <v>66</v>
      </c>
      <c r="C11" s="6">
        <f>(Investments!C10)</f>
        <v>390000</v>
      </c>
      <c r="D11" s="4"/>
      <c r="E11" s="6">
        <f>Investments!C10</f>
        <v>390000</v>
      </c>
      <c r="F11" s="6"/>
      <c r="G11" s="6">
        <f>Investments!C10</f>
        <v>390000</v>
      </c>
      <c r="H11" s="6"/>
    </row>
    <row r="12" spans="2:8" x14ac:dyDescent="0.2">
      <c r="B12" s="4" t="s">
        <v>127</v>
      </c>
      <c r="C12" s="6">
        <f>-FC!C28</f>
        <v>-139286</v>
      </c>
      <c r="D12" s="54">
        <f>C11+C12</f>
        <v>250714</v>
      </c>
      <c r="E12" s="6">
        <f>C12-FC!D28</f>
        <v>-210919</v>
      </c>
      <c r="F12" s="6">
        <f>SUM(E11:E12)</f>
        <v>179081</v>
      </c>
      <c r="G12" s="6">
        <f>E12-FC!E28</f>
        <v>-270613</v>
      </c>
      <c r="H12" s="6">
        <f>SUM(G11,G12)</f>
        <v>119387</v>
      </c>
    </row>
    <row r="13" spans="2:8" x14ac:dyDescent="0.2">
      <c r="B13" s="4" t="s">
        <v>89</v>
      </c>
      <c r="C13" s="4"/>
      <c r="D13" s="6">
        <f>Investments!C6-FC!C29</f>
        <v>40000</v>
      </c>
      <c r="E13" s="6"/>
      <c r="F13" s="6">
        <f>Investments!C6-(SUM(FC!C29:D29))</f>
        <v>30000</v>
      </c>
      <c r="G13" s="6"/>
      <c r="H13" s="6">
        <f>Investments!C6-(SUM(FC!C29:E29))</f>
        <v>20000</v>
      </c>
    </row>
    <row r="14" spans="2:8" x14ac:dyDescent="0.2">
      <c r="B14" s="4" t="s">
        <v>90</v>
      </c>
      <c r="C14" s="4"/>
      <c r="D14" s="6">
        <f>Investments!C7-FC!C30</f>
        <v>800</v>
      </c>
      <c r="E14" s="6"/>
      <c r="F14" s="6">
        <f>Investments!C7-(SUM(FC!C30:D30))</f>
        <v>600</v>
      </c>
      <c r="G14" s="6"/>
      <c r="H14" s="6">
        <f>Investments!C7-(SUM(FC!C30:E30))</f>
        <v>400</v>
      </c>
    </row>
    <row r="15" spans="2:8" x14ac:dyDescent="0.2">
      <c r="B15" s="7" t="s">
        <v>47</v>
      </c>
      <c r="C15" s="7"/>
      <c r="D15" s="9">
        <f>SUM(D8:D14)</f>
        <v>329714</v>
      </c>
      <c r="E15" s="9"/>
      <c r="F15" s="9">
        <f>SUM(F8:F14)</f>
        <v>248181</v>
      </c>
      <c r="G15" s="9"/>
      <c r="H15" s="9">
        <f>SUM(H8:H14)</f>
        <v>331429.6026666672</v>
      </c>
    </row>
    <row r="16" spans="2:8" ht="15" customHeight="1" x14ac:dyDescent="0.2">
      <c r="B16" s="15"/>
      <c r="C16" s="15"/>
      <c r="D16" s="6"/>
      <c r="E16" s="6"/>
      <c r="F16" s="6"/>
      <c r="G16" s="6"/>
      <c r="H16" s="6"/>
    </row>
    <row r="17" spans="2:8" x14ac:dyDescent="0.2">
      <c r="B17" s="15" t="s">
        <v>85</v>
      </c>
      <c r="C17" s="7"/>
      <c r="D17" s="6"/>
      <c r="E17" s="6"/>
      <c r="F17" s="6"/>
      <c r="G17" s="6"/>
      <c r="H17" s="6"/>
    </row>
    <row r="18" spans="2:8" x14ac:dyDescent="0.2">
      <c r="B18" s="4" t="s">
        <v>91</v>
      </c>
      <c r="C18" s="4"/>
      <c r="D18" s="5">
        <f>FC!C20/12</f>
        <v>5450</v>
      </c>
      <c r="E18" s="5"/>
      <c r="F18" s="5">
        <f>FC!D20/12</f>
        <v>5616.666666666667</v>
      </c>
      <c r="G18" s="5"/>
      <c r="H18" s="5">
        <f>FC!E20/12</f>
        <v>5783.333333333333</v>
      </c>
    </row>
    <row r="19" spans="2:8" x14ac:dyDescent="0.2">
      <c r="B19" s="4" t="s">
        <v>92</v>
      </c>
      <c r="C19" s="4"/>
      <c r="D19" s="6">
        <f>FC!C24</f>
        <v>0</v>
      </c>
      <c r="E19" s="6"/>
      <c r="F19" s="6">
        <f>FC!D24</f>
        <v>0</v>
      </c>
      <c r="G19" s="6"/>
      <c r="H19" s="6">
        <f>FC!E24</f>
        <v>0</v>
      </c>
    </row>
    <row r="20" spans="2:8" x14ac:dyDescent="0.2">
      <c r="B20" s="4" t="s">
        <v>93</v>
      </c>
      <c r="C20" s="4"/>
      <c r="D20" s="6">
        <f>IS!C21</f>
        <v>54.799999999953435</v>
      </c>
      <c r="E20" s="6"/>
      <c r="F20" s="6">
        <f>IS!D21</f>
        <v>30238.943999999887</v>
      </c>
      <c r="G20" s="6"/>
      <c r="H20" s="6">
        <f>IS!E21</f>
        <v>62480.742399999894</v>
      </c>
    </row>
    <row r="21" spans="2:8" x14ac:dyDescent="0.2">
      <c r="B21" s="4" t="s">
        <v>34</v>
      </c>
      <c r="C21" s="4"/>
      <c r="D21" s="6">
        <f>Investments!C14-'CB Yr.1'!$N$33</f>
        <v>273989.99999999994</v>
      </c>
      <c r="E21" s="6"/>
      <c r="F21" s="6">
        <f>D21-'CB Yr. 2'!N25</f>
        <v>73097.333333333285</v>
      </c>
      <c r="G21" s="6"/>
      <c r="H21" s="6">
        <f>F21-'CB Yr. 3'!N25</f>
        <v>0</v>
      </c>
    </row>
    <row r="22" spans="2:8" x14ac:dyDescent="0.2">
      <c r="B22" s="15" t="s">
        <v>86</v>
      </c>
      <c r="C22" s="7"/>
      <c r="D22" s="5">
        <f>SUM(D18:D21)</f>
        <v>279494.79999999987</v>
      </c>
      <c r="E22" s="6"/>
      <c r="F22" s="5">
        <f>SUM(F18:F21)</f>
        <v>108952.94399999984</v>
      </c>
      <c r="G22" s="6"/>
      <c r="H22" s="5">
        <f>SUM(H18:H21)</f>
        <v>68264.075733333229</v>
      </c>
    </row>
    <row r="23" spans="2:8" ht="9.75" customHeight="1" x14ac:dyDescent="0.2">
      <c r="B23" s="4"/>
      <c r="C23" s="4"/>
      <c r="D23" s="6"/>
      <c r="E23" s="6"/>
      <c r="F23" s="6"/>
      <c r="G23" s="6"/>
      <c r="H23" s="6"/>
    </row>
    <row r="24" spans="2:8" x14ac:dyDescent="0.2">
      <c r="B24" s="4" t="s">
        <v>94</v>
      </c>
      <c r="C24" s="4"/>
      <c r="D24" s="5">
        <f>Investments!C13</f>
        <v>50000</v>
      </c>
      <c r="E24" s="5"/>
      <c r="F24" s="5">
        <f>Investments!C13</f>
        <v>50000</v>
      </c>
      <c r="G24" s="5"/>
      <c r="H24" s="5">
        <f>Investments!C13</f>
        <v>50000</v>
      </c>
    </row>
    <row r="25" spans="2:8" x14ac:dyDescent="0.2">
      <c r="B25" s="4" t="s">
        <v>95</v>
      </c>
      <c r="C25" s="4"/>
      <c r="D25" s="6">
        <f>IS!C22</f>
        <v>219.19999999981374</v>
      </c>
      <c r="E25" s="6"/>
      <c r="F25" s="6">
        <f>D25+IS!D22</f>
        <v>89228.055999999691</v>
      </c>
      <c r="G25" s="6"/>
      <c r="H25" s="6">
        <f>F25+IS!E22</f>
        <v>213165.52693333291</v>
      </c>
    </row>
    <row r="26" spans="2:8" x14ac:dyDescent="0.2">
      <c r="B26" s="15" t="s">
        <v>96</v>
      </c>
      <c r="C26" s="7"/>
      <c r="D26" s="5">
        <f>SUM(D24:D25)</f>
        <v>50219.199999999815</v>
      </c>
      <c r="E26" s="5"/>
      <c r="F26" s="5">
        <f>SUM(F24:F25)</f>
        <v>139228.05599999969</v>
      </c>
      <c r="G26" s="5"/>
      <c r="H26" s="5">
        <f>SUM(H24:H25)</f>
        <v>263165.52693333291</v>
      </c>
    </row>
    <row r="27" spans="2:8" ht="9.75" customHeight="1" x14ac:dyDescent="0.2">
      <c r="B27" s="15"/>
      <c r="C27" s="15"/>
      <c r="D27" s="6"/>
      <c r="E27" s="6"/>
      <c r="F27" s="6"/>
      <c r="G27" s="6"/>
      <c r="H27" s="6"/>
    </row>
    <row r="28" spans="2:8" x14ac:dyDescent="0.2">
      <c r="B28" s="7" t="s">
        <v>97</v>
      </c>
      <c r="C28" s="7"/>
      <c r="D28" s="9">
        <f>SUM(D22,D26)</f>
        <v>329713.99999999971</v>
      </c>
      <c r="E28" s="35"/>
      <c r="F28" s="9">
        <f>SUM(F22,F26)</f>
        <v>248180.99999999953</v>
      </c>
      <c r="G28" s="35"/>
      <c r="H28" s="9">
        <f>SUM(H22,H26)</f>
        <v>331429.60266666615</v>
      </c>
    </row>
    <row r="31" spans="2:8" x14ac:dyDescent="0.2">
      <c r="B31" s="3" t="s">
        <v>146</v>
      </c>
    </row>
    <row r="32" spans="2:8" x14ac:dyDescent="0.2">
      <c r="B32" s="3" t="s">
        <v>148</v>
      </c>
    </row>
    <row r="33" spans="2:2" x14ac:dyDescent="0.2">
      <c r="B33" s="3" t="s">
        <v>147</v>
      </c>
    </row>
    <row r="34" spans="2:2" x14ac:dyDescent="0.2">
      <c r="B34" s="3" t="s">
        <v>149</v>
      </c>
    </row>
    <row r="35" spans="2:2" x14ac:dyDescent="0.2">
      <c r="B35" s="3" t="s">
        <v>150</v>
      </c>
    </row>
  </sheetData>
  <mergeCells count="5">
    <mergeCell ref="B4:H4"/>
    <mergeCell ref="B2:H2"/>
    <mergeCell ref="C6:D6"/>
    <mergeCell ref="E6:F6"/>
    <mergeCell ref="G6:H6"/>
  </mergeCells>
  <phoneticPr fontId="0" type="noConversion"/>
  <pageMargins left="0.74803149606299213" right="0.74803149606299213" top="0.98425196850393704" bottom="0.98425196850393704" header="0.51181102362204722" footer="0.51181102362204722"/>
  <pageSetup scale="96" orientation="landscape" horizont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0"/>
  <sheetViews>
    <sheetView zoomScale="130" zoomScaleNormal="130" zoomScalePageLayoutView="130" workbookViewId="0">
      <selection activeCell="C20" sqref="C20"/>
    </sheetView>
  </sheetViews>
  <sheetFormatPr baseColWidth="10" defaultColWidth="9.1640625" defaultRowHeight="16" x14ac:dyDescent="0.2"/>
  <cols>
    <col min="1" max="1" width="3.6640625" style="3" customWidth="1"/>
    <col min="2" max="2" width="28.6640625" style="3" customWidth="1"/>
    <col min="3" max="3" width="17.33203125" style="3" customWidth="1"/>
    <col min="4" max="4" width="17.1640625" style="3" customWidth="1"/>
    <col min="5" max="5" width="18.1640625" style="3" customWidth="1"/>
    <col min="6" max="6" width="3.6640625" style="3" customWidth="1"/>
    <col min="7" max="16384" width="9.1640625" style="3"/>
  </cols>
  <sheetData>
    <row r="1" spans="2:5" s="1" customFormat="1" ht="14" x14ac:dyDescent="0.2"/>
    <row r="2" spans="2:5" x14ac:dyDescent="0.2">
      <c r="B2" s="57" t="s">
        <v>1</v>
      </c>
      <c r="C2" s="57"/>
      <c r="D2" s="57"/>
      <c r="E2" s="57"/>
    </row>
    <row r="3" spans="2:5" ht="4" customHeight="1" x14ac:dyDescent="0.2">
      <c r="B3" s="2"/>
      <c r="C3" s="10"/>
      <c r="D3" s="10"/>
      <c r="E3" s="10"/>
    </row>
    <row r="4" spans="2:5" x14ac:dyDescent="0.2">
      <c r="B4" s="57" t="s">
        <v>63</v>
      </c>
      <c r="C4" s="57"/>
      <c r="D4" s="57"/>
      <c r="E4" s="57"/>
    </row>
    <row r="5" spans="2:5" ht="4.5" customHeight="1" x14ac:dyDescent="0.2"/>
    <row r="6" spans="2:5" x14ac:dyDescent="0.2">
      <c r="B6" s="15" t="s">
        <v>51</v>
      </c>
      <c r="C6" s="11" t="s">
        <v>6</v>
      </c>
      <c r="D6" s="11" t="s">
        <v>7</v>
      </c>
      <c r="E6" s="11" t="s">
        <v>8</v>
      </c>
    </row>
    <row r="7" spans="2:5" x14ac:dyDescent="0.2">
      <c r="B7" s="4" t="s">
        <v>9</v>
      </c>
      <c r="C7" s="14">
        <f>FC!C38</f>
        <v>438766</v>
      </c>
      <c r="D7" s="14">
        <f>FC!D38</f>
        <v>360952.2</v>
      </c>
      <c r="E7" s="14">
        <f>FC!E38</f>
        <v>334941.78666666668</v>
      </c>
    </row>
    <row r="8" spans="2:5" x14ac:dyDescent="0.2">
      <c r="B8" s="4" t="s">
        <v>61</v>
      </c>
      <c r="C8" s="12">
        <f>VC!$C$16</f>
        <v>0.34299999999999986</v>
      </c>
      <c r="D8" s="12">
        <f>VC!$C$16</f>
        <v>0.34299999999999986</v>
      </c>
      <c r="E8" s="12">
        <f>VC!$C$16</f>
        <v>0.34299999999999986</v>
      </c>
    </row>
    <row r="9" spans="2:5" x14ac:dyDescent="0.2">
      <c r="B9" s="15" t="s">
        <v>48</v>
      </c>
      <c r="C9" s="5">
        <f>C7/C8</f>
        <v>1279201.1661807585</v>
      </c>
      <c r="D9" s="5">
        <f t="shared" ref="D9:E9" si="0">D7/D8</f>
        <v>1052338.7755102045</v>
      </c>
      <c r="E9" s="5">
        <f t="shared" si="0"/>
        <v>976506.66666666709</v>
      </c>
    </row>
    <row r="10" spans="2:5" ht="9.75" customHeight="1" x14ac:dyDescent="0.2"/>
    <row r="11" spans="2:5" x14ac:dyDescent="0.2">
      <c r="B11" s="4" t="s">
        <v>49</v>
      </c>
      <c r="C11" s="5">
        <f>IS!C9</f>
        <v>1280000</v>
      </c>
      <c r="D11" s="5">
        <f>IS!D9</f>
        <v>1400000</v>
      </c>
      <c r="E11" s="5">
        <f>IS!E9</f>
        <v>1520000</v>
      </c>
    </row>
    <row r="12" spans="2:5" x14ac:dyDescent="0.2">
      <c r="B12" s="7" t="s">
        <v>50</v>
      </c>
      <c r="C12" s="36">
        <f>(C11-C9)/C11</f>
        <v>6.2408892128241859E-4</v>
      </c>
      <c r="D12" s="36">
        <f t="shared" ref="D12:E12" si="1">(D11-D9)/D11</f>
        <v>0.24832944606413965</v>
      </c>
      <c r="E12" s="36">
        <f t="shared" si="1"/>
        <v>0.35756140350877164</v>
      </c>
    </row>
    <row r="13" spans="2:5" ht="15" customHeight="1" x14ac:dyDescent="0.2"/>
    <row r="14" spans="2:5" x14ac:dyDescent="0.2">
      <c r="B14" s="15" t="s">
        <v>52</v>
      </c>
      <c r="C14" s="11" t="s">
        <v>6</v>
      </c>
      <c r="D14" s="11" t="s">
        <v>7</v>
      </c>
      <c r="E14" s="11" t="s">
        <v>8</v>
      </c>
    </row>
    <row r="15" spans="2:5" x14ac:dyDescent="0.2">
      <c r="B15" s="4" t="s">
        <v>99</v>
      </c>
      <c r="C15" s="5">
        <f>FC!C13</f>
        <v>188600</v>
      </c>
      <c r="D15" s="5">
        <f>FC!D13</f>
        <v>188600</v>
      </c>
      <c r="E15" s="5">
        <f>FC!E13</f>
        <v>188600</v>
      </c>
    </row>
    <row r="16" spans="2:5" x14ac:dyDescent="0.2">
      <c r="B16" s="4" t="s">
        <v>61</v>
      </c>
      <c r="C16" s="12">
        <f>VC!$C$16</f>
        <v>0.34299999999999986</v>
      </c>
      <c r="D16" s="12">
        <f>VC!$C$16</f>
        <v>0.34299999999999986</v>
      </c>
      <c r="E16" s="12">
        <f>VC!$C$16</f>
        <v>0.34299999999999986</v>
      </c>
    </row>
    <row r="17" spans="2:5" x14ac:dyDescent="0.2">
      <c r="B17" s="15" t="s">
        <v>53</v>
      </c>
      <c r="C17" s="14">
        <f>C15/C16</f>
        <v>549854.22740524809</v>
      </c>
      <c r="D17" s="14">
        <f t="shared" ref="D17:E17" si="2">D15/D16</f>
        <v>549854.22740524809</v>
      </c>
      <c r="E17" s="14">
        <f t="shared" si="2"/>
        <v>549854.22740524809</v>
      </c>
    </row>
    <row r="18" spans="2:5" ht="9" customHeight="1" x14ac:dyDescent="0.2"/>
    <row r="19" spans="2:5" x14ac:dyDescent="0.2">
      <c r="B19" s="4" t="s">
        <v>49</v>
      </c>
      <c r="C19" s="5">
        <f>IS!C9</f>
        <v>1280000</v>
      </c>
      <c r="D19" s="5">
        <f>IS!D9</f>
        <v>1400000</v>
      </c>
      <c r="E19" s="5">
        <f>IS!E9</f>
        <v>1520000</v>
      </c>
    </row>
    <row r="20" spans="2:5" x14ac:dyDescent="0.2">
      <c r="B20" s="7" t="s">
        <v>50</v>
      </c>
      <c r="C20" s="36">
        <f>(C19-C17)/C19</f>
        <v>0.57042638483964991</v>
      </c>
      <c r="D20" s="36">
        <f t="shared" ref="D20:E20" si="3">(D19-D17)/D19</f>
        <v>0.60724698042482284</v>
      </c>
      <c r="E20" s="36">
        <f t="shared" si="3"/>
        <v>0.63825379775970525</v>
      </c>
    </row>
  </sheetData>
  <mergeCells count="2">
    <mergeCell ref="B2:E2"/>
    <mergeCell ref="B4:E4"/>
  </mergeCells>
  <phoneticPr fontId="0" type="noConversion"/>
  <pageMargins left="0.75" right="0.75" top="1" bottom="1" header="0.5" footer="0.5"/>
  <pageSetup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4"/>
  <sheetViews>
    <sheetView tabSelected="1" zoomScale="130" zoomScaleNormal="130" zoomScalePageLayoutView="130" workbookViewId="0">
      <selection activeCell="C9" sqref="C9"/>
    </sheetView>
  </sheetViews>
  <sheetFormatPr baseColWidth="10" defaultColWidth="9.1640625" defaultRowHeight="16" x14ac:dyDescent="0.2"/>
  <cols>
    <col min="1" max="1" width="3.6640625" style="3" customWidth="1"/>
    <col min="2" max="2" width="27.5" style="3" customWidth="1"/>
    <col min="3" max="3" width="13.6640625" style="3" customWidth="1"/>
    <col min="4" max="4" width="14.1640625" style="3" customWidth="1"/>
    <col min="5" max="5" width="14.5" style="3" customWidth="1"/>
    <col min="6" max="6" width="3.6640625" style="3" customWidth="1"/>
    <col min="7" max="16384" width="9.1640625" style="3"/>
  </cols>
  <sheetData>
    <row r="1" spans="2:5" s="1" customFormat="1" ht="14" x14ac:dyDescent="0.2"/>
    <row r="2" spans="2:5" x14ac:dyDescent="0.2">
      <c r="B2" s="57" t="s">
        <v>1</v>
      </c>
      <c r="C2" s="57"/>
      <c r="D2" s="57"/>
      <c r="E2" s="57"/>
    </row>
    <row r="3" spans="2:5" ht="4" customHeight="1" x14ac:dyDescent="0.2">
      <c r="B3" s="2"/>
      <c r="C3" s="10"/>
      <c r="D3" s="10"/>
      <c r="E3" s="10"/>
    </row>
    <row r="4" spans="2:5" x14ac:dyDescent="0.2">
      <c r="B4" s="57" t="s">
        <v>62</v>
      </c>
      <c r="C4" s="57"/>
      <c r="D4" s="57"/>
      <c r="E4" s="57"/>
    </row>
    <row r="5" spans="2:5" ht="5.25" customHeight="1" x14ac:dyDescent="0.2"/>
    <row r="6" spans="2:5" x14ac:dyDescent="0.2">
      <c r="B6" s="15" t="s">
        <v>56</v>
      </c>
      <c r="C6" s="11" t="s">
        <v>6</v>
      </c>
      <c r="D6" s="11" t="s">
        <v>7</v>
      </c>
      <c r="E6" s="11" t="s">
        <v>8</v>
      </c>
    </row>
    <row r="7" spans="2:5" x14ac:dyDescent="0.2">
      <c r="B7" s="4" t="s">
        <v>18</v>
      </c>
      <c r="C7" s="5">
        <f>IS!C22</f>
        <v>219.19999999981374</v>
      </c>
      <c r="D7" s="5">
        <f>IS!D22</f>
        <v>89008.855999999883</v>
      </c>
      <c r="E7" s="5">
        <f>IS!E22</f>
        <v>123937.47093333321</v>
      </c>
    </row>
    <row r="8" spans="2:5" x14ac:dyDescent="0.2">
      <c r="B8" s="4" t="s">
        <v>39</v>
      </c>
      <c r="C8" s="5">
        <f>Investments!$C$11</f>
        <v>476000</v>
      </c>
      <c r="D8" s="5">
        <f>Investments!$C$11</f>
        <v>476000</v>
      </c>
      <c r="E8" s="5">
        <f>Investments!$C$11</f>
        <v>476000</v>
      </c>
    </row>
    <row r="9" spans="2:5" x14ac:dyDescent="0.2">
      <c r="B9" s="7" t="s">
        <v>54</v>
      </c>
      <c r="C9" s="36">
        <f>C7/C8</f>
        <v>4.6050420168028096E-4</v>
      </c>
      <c r="D9" s="36">
        <f t="shared" ref="D9:E9" si="0">D7/D8</f>
        <v>0.18699339495798295</v>
      </c>
      <c r="E9" s="36">
        <f t="shared" si="0"/>
        <v>0.26037283809523787</v>
      </c>
    </row>
    <row r="10" spans="2:5" x14ac:dyDescent="0.2">
      <c r="B10" s="13"/>
      <c r="C10" s="13"/>
      <c r="D10" s="13"/>
      <c r="E10" s="13"/>
    </row>
    <row r="11" spans="2:5" x14ac:dyDescent="0.2">
      <c r="B11" s="15" t="s">
        <v>57</v>
      </c>
      <c r="C11" s="11" t="s">
        <v>6</v>
      </c>
      <c r="D11" s="11" t="s">
        <v>7</v>
      </c>
      <c r="E11" s="11" t="s">
        <v>8</v>
      </c>
    </row>
    <row r="12" spans="2:5" x14ac:dyDescent="0.2">
      <c r="B12" s="4" t="s">
        <v>18</v>
      </c>
      <c r="C12" s="5">
        <f>IS!C22</f>
        <v>219.19999999981374</v>
      </c>
      <c r="D12" s="5">
        <f>IS!D22</f>
        <v>89008.855999999883</v>
      </c>
      <c r="E12" s="5">
        <f>IS!E22</f>
        <v>123937.47093333321</v>
      </c>
    </row>
    <row r="13" spans="2:5" x14ac:dyDescent="0.2">
      <c r="B13" s="4" t="s">
        <v>58</v>
      </c>
      <c r="C13" s="5">
        <f>BS!D26+BS!D27</f>
        <v>50219.199999999815</v>
      </c>
      <c r="D13" s="5">
        <f>Investments!$C$13</f>
        <v>50000</v>
      </c>
      <c r="E13" s="5">
        <f>Investments!$C$13</f>
        <v>50000</v>
      </c>
    </row>
    <row r="14" spans="2:5" x14ac:dyDescent="0.2">
      <c r="B14" s="7" t="s">
        <v>55</v>
      </c>
      <c r="C14" s="36">
        <f>C12/C13</f>
        <v>4.3648644343162483E-3</v>
      </c>
      <c r="D14" s="36">
        <f t="shared" ref="D14:E14" si="1">D12/D13</f>
        <v>1.7801771199999976</v>
      </c>
      <c r="E14" s="36">
        <f t="shared" si="1"/>
        <v>2.4787494186666641</v>
      </c>
    </row>
  </sheetData>
  <mergeCells count="2">
    <mergeCell ref="B2:E2"/>
    <mergeCell ref="B4:E4"/>
  </mergeCells>
  <phoneticPr fontId="0" type="noConversion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Investments</vt:lpstr>
      <vt:lpstr>VC</vt:lpstr>
      <vt:lpstr>FC</vt:lpstr>
      <vt:lpstr>IS</vt:lpstr>
      <vt:lpstr>CB Yr.1</vt:lpstr>
      <vt:lpstr>CB Yr. 2</vt:lpstr>
      <vt:lpstr>CB Yr. 3</vt:lpstr>
      <vt:lpstr>BS</vt:lpstr>
      <vt:lpstr>Break-Even</vt:lpstr>
      <vt:lpstr>ROI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Vicki Sweeney</dc:creator>
  <cp:lastModifiedBy>Microsoft Office User</cp:lastModifiedBy>
  <cp:lastPrinted>2015-03-11T19:20:44Z</cp:lastPrinted>
  <dcterms:created xsi:type="dcterms:W3CDTF">2000-02-02T17:35:44Z</dcterms:created>
  <dcterms:modified xsi:type="dcterms:W3CDTF">2018-01-31T19:33:04Z</dcterms:modified>
</cp:coreProperties>
</file>
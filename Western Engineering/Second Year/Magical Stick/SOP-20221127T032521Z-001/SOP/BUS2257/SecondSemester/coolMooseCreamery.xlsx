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81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jacquelineyan/Desktop/CASEBOOK SOLUTIONS/"/>
    </mc:Choice>
  </mc:AlternateContent>
  <bookViews>
    <workbookView xWindow="0" yWindow="460" windowWidth="25480" windowHeight="13320" tabRatio="500"/>
  </bookViews>
  <sheets>
    <sheet name="Sheet1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13" i="1" l="1"/>
  <c r="D5" i="1"/>
  <c r="D8" i="1"/>
  <c r="D9" i="1"/>
  <c r="D10" i="1"/>
  <c r="D12" i="1"/>
  <c r="D13" i="1"/>
  <c r="D14" i="1"/>
  <c r="D16" i="1"/>
  <c r="D19" i="1"/>
  <c r="D21" i="1"/>
  <c r="D22" i="1"/>
  <c r="D23" i="1"/>
  <c r="D24" i="1"/>
  <c r="D27" i="1"/>
  <c r="C5" i="1"/>
  <c r="C8" i="1"/>
  <c r="C9" i="1"/>
  <c r="C10" i="1"/>
  <c r="C12" i="1"/>
  <c r="C14" i="1"/>
  <c r="C16" i="1"/>
  <c r="C19" i="1"/>
  <c r="C22" i="1"/>
  <c r="C23" i="1"/>
  <c r="C24" i="1"/>
  <c r="C27" i="1"/>
  <c r="D26" i="1"/>
  <c r="C26" i="1"/>
</calcChain>
</file>

<file path=xl/sharedStrings.xml><?xml version="1.0" encoding="utf-8"?>
<sst xmlns="http://schemas.openxmlformats.org/spreadsheetml/2006/main" count="36" uniqueCount="35">
  <si>
    <t>COOL MOOSE CREAMERY</t>
  </si>
  <si>
    <t>ASSUMPTIONS</t>
  </si>
  <si>
    <t>SINGLE HEAD</t>
  </si>
  <si>
    <t>TRIPLE HEAD</t>
  </si>
  <si>
    <t>CASH INFLOWS</t>
  </si>
  <si>
    <t>CASH OUTFLOWS</t>
  </si>
  <si>
    <t>NET CASH FLOWS</t>
  </si>
  <si>
    <t>INVESTMENTS</t>
  </si>
  <si>
    <t>Ice Cream Sales</t>
  </si>
  <si>
    <t xml:space="preserve">2.50/serving </t>
  </si>
  <si>
    <t>Serving</t>
  </si>
  <si>
    <t>$0.25/serving</t>
  </si>
  <si>
    <t>Cone/Cup</t>
  </si>
  <si>
    <t>$0.07/serving</t>
  </si>
  <si>
    <t>Napkins</t>
  </si>
  <si>
    <t>S: 2800/500=5.6 T:4000/500=8</t>
  </si>
  <si>
    <t>Training</t>
  </si>
  <si>
    <t>S: 2 hours T: 3 hours</t>
  </si>
  <si>
    <t>Operating</t>
  </si>
  <si>
    <t>Given</t>
  </si>
  <si>
    <t>Cannibalization</t>
  </si>
  <si>
    <t>1400 servings*2.50</t>
  </si>
  <si>
    <t>Cannibalized COGS</t>
  </si>
  <si>
    <t>Total Outflows</t>
  </si>
  <si>
    <t>Single Head Machine</t>
  </si>
  <si>
    <t>Triple Head Machine</t>
  </si>
  <si>
    <t>12,000+150+650</t>
  </si>
  <si>
    <t>Inventory</t>
  </si>
  <si>
    <t>10 days (COGS/120*10)</t>
  </si>
  <si>
    <t>Cannibalized Inventory</t>
  </si>
  <si>
    <t>10 days (Cannibalized COGS/120*10)</t>
  </si>
  <si>
    <t>$0.31*1400 servings of Cannibalization</t>
  </si>
  <si>
    <t>Total Investments</t>
  </si>
  <si>
    <t>Payback</t>
  </si>
  <si>
    <t>Return on Investment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</si>
</sst>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2"/>
      <color theme="1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indexed="206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6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164" fontId="0" fillId="0" borderId="0" xfId="1" applyNumberFormat="1" applyFont="1"/>
    <xf numFmtId="164" fontId="0" fillId="0" borderId="1" xfId="1" applyNumberFormat="1" applyFont="1" applyBorder="1"/>
    <xf numFmtId="0" fontId="5" fillId="0" borderId="0" xfId="0" applyFont="1"/>
    <xf numFmtId="0" fontId="2" fillId="0" borderId="0" xfId="0" applyFont="1" applyAlignment="1">
      <alignment horizontal="center"/>
    </xf>
  </cellXfs>
  <cellStyles count="26">
    <cellStyle name="Comma" xfId="1" builtinId="3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tabSelected="1" workbookViewId="0">
      <selection activeCell="C14" sqref="C14"/>
    </sheetView>
  </sheetViews>
  <sheetFormatPr baseColWidth="10" defaultColWidth="11" defaultRowHeight="16" x14ac:dyDescent="0.2"/>
  <cols>
    <col min="1" max="1" width="32.5" customWidth="1"/>
    <col min="2" max="2" width="32" customWidth="1"/>
    <col min="3" max="3" width="21.83203125" customWidth="1"/>
    <col min="4" max="4" width="22.1640625" customWidth="1"/>
  </cols>
  <sheetData>
    <row r="1" spans="1:4" ht="28.5" x14ac:dyDescent="0.45">
      <c r="A1" s="5" t="s">
        <v>0</v>
      </c>
      <c r="B1" s="5"/>
      <c r="C1" s="5"/>
      <c r="D1" s="5"/>
    </row>
    <row r="3" spans="1:4" x14ac:dyDescent="0.2">
      <c r="B3" s="1" t="s">
        <v>1</v>
      </c>
      <c r="C3" s="1" t="s">
        <v>2</v>
      </c>
      <c r="D3" s="1" t="s">
        <v>3</v>
      </c>
    </row>
    <row r="4" spans="1:4" x14ac:dyDescent="0.2">
      <c r="A4" t="s">
        <v>4</v>
      </c>
    </row>
    <row r="5" spans="1:4" x14ac:dyDescent="0.2">
      <c r="A5" t="s">
        <v>8</v>
      </c>
      <c r="B5" t="s">
        <v>9</v>
      </c>
      <c r="C5" s="2">
        <f>2800*2.5</f>
        <v>7000</v>
      </c>
      <c r="D5" s="2">
        <f>(2800+1200)*2.5</f>
        <v>10000</v>
      </c>
    </row>
    <row r="6" spans="1:4" x14ac:dyDescent="0.2">
      <c r="C6" s="2"/>
      <c r="D6" s="2"/>
    </row>
    <row r="7" spans="1:4" x14ac:dyDescent="0.2">
      <c r="A7" t="s">
        <v>5</v>
      </c>
      <c r="C7" s="2"/>
      <c r="D7" s="2"/>
    </row>
    <row r="8" spans="1:4" x14ac:dyDescent="0.2">
      <c r="A8" t="s">
        <v>10</v>
      </c>
      <c r="B8" t="s">
        <v>11</v>
      </c>
      <c r="C8" s="2">
        <f>2800*0.25</f>
        <v>700</v>
      </c>
      <c r="D8" s="2">
        <f>(2800+1200)*0.25</f>
        <v>1000</v>
      </c>
    </row>
    <row r="9" spans="1:4" x14ac:dyDescent="0.2">
      <c r="A9" t="s">
        <v>12</v>
      </c>
      <c r="B9" t="s">
        <v>13</v>
      </c>
      <c r="C9" s="2">
        <f>2800*0.07</f>
        <v>196.00000000000003</v>
      </c>
      <c r="D9" s="2">
        <f>(2800+1200)*0.07</f>
        <v>280</v>
      </c>
    </row>
    <row r="10" spans="1:4" x14ac:dyDescent="0.2">
      <c r="A10" t="s">
        <v>14</v>
      </c>
      <c r="B10" t="s">
        <v>15</v>
      </c>
      <c r="C10" s="2">
        <f>6*5</f>
        <v>30</v>
      </c>
      <c r="D10" s="2">
        <f>8*5</f>
        <v>40</v>
      </c>
    </row>
    <row r="11" spans="1:4" x14ac:dyDescent="0.2">
      <c r="A11" t="s">
        <v>18</v>
      </c>
      <c r="B11" t="s">
        <v>19</v>
      </c>
      <c r="C11" s="2">
        <v>150</v>
      </c>
      <c r="D11" s="2">
        <v>350</v>
      </c>
    </row>
    <row r="12" spans="1:4" x14ac:dyDescent="0.2">
      <c r="A12" t="s">
        <v>20</v>
      </c>
      <c r="B12" t="s">
        <v>21</v>
      </c>
      <c r="C12" s="2">
        <f>1400*2.5</f>
        <v>3500</v>
      </c>
      <c r="D12" s="2">
        <f>1400*2.5</f>
        <v>3500</v>
      </c>
    </row>
    <row r="13" spans="1:4" x14ac:dyDescent="0.2">
      <c r="A13" t="s">
        <v>22</v>
      </c>
      <c r="B13" t="s">
        <v>31</v>
      </c>
      <c r="C13" s="3">
        <f>-0.31*980</f>
        <v>-303.8</v>
      </c>
      <c r="D13" s="3">
        <f>-0.31*1400</f>
        <v>-434</v>
      </c>
    </row>
    <row r="14" spans="1:4" x14ac:dyDescent="0.2">
      <c r="A14" t="s">
        <v>23</v>
      </c>
      <c r="C14" s="2">
        <f>SUM(C8:C13)</f>
        <v>4272.2</v>
      </c>
      <c r="D14" s="2">
        <f>SUM(D8:D13)</f>
        <v>4736</v>
      </c>
    </row>
    <row r="15" spans="1:4" x14ac:dyDescent="0.2">
      <c r="C15" s="2"/>
      <c r="D15" s="2"/>
    </row>
    <row r="16" spans="1:4" x14ac:dyDescent="0.2">
      <c r="A16" t="s">
        <v>6</v>
      </c>
      <c r="C16" s="2">
        <f>C5-C14</f>
        <v>2727.8</v>
      </c>
      <c r="D16" s="2">
        <f>D5-D14</f>
        <v>5264</v>
      </c>
    </row>
    <row r="17" spans="1:4" x14ac:dyDescent="0.2">
      <c r="C17" s="2"/>
      <c r="D17" s="2"/>
    </row>
    <row r="18" spans="1:4" x14ac:dyDescent="0.2">
      <c r="A18" t="s">
        <v>7</v>
      </c>
      <c r="C18" s="2"/>
      <c r="D18" s="2"/>
    </row>
    <row r="19" spans="1:4" x14ac:dyDescent="0.2">
      <c r="A19" t="s">
        <v>16</v>
      </c>
      <c r="B19" t="s">
        <v>17</v>
      </c>
      <c r="C19" s="2">
        <f>2*4*10.9</f>
        <v>87.2</v>
      </c>
      <c r="D19" s="2">
        <f>3*4*10.9</f>
        <v>130.80000000000001</v>
      </c>
    </row>
    <row r="20" spans="1:4" x14ac:dyDescent="0.2">
      <c r="A20" t="s">
        <v>24</v>
      </c>
      <c r="B20" t="s">
        <v>19</v>
      </c>
      <c r="C20" s="2">
        <v>2000</v>
      </c>
      <c r="D20" s="2"/>
    </row>
    <row r="21" spans="1:4" x14ac:dyDescent="0.2">
      <c r="A21" t="s">
        <v>25</v>
      </c>
      <c r="B21" t="s">
        <v>26</v>
      </c>
      <c r="C21" s="2"/>
      <c r="D21" s="2">
        <f>12000+150+650</f>
        <v>12800</v>
      </c>
    </row>
    <row r="22" spans="1:4" x14ac:dyDescent="0.2">
      <c r="A22" t="s">
        <v>27</v>
      </c>
      <c r="B22" t="s">
        <v>28</v>
      </c>
      <c r="C22" s="2">
        <f>(C8+C9+C10)/120*10</f>
        <v>77.166666666666671</v>
      </c>
      <c r="D22" s="2">
        <f>(D8+D9+D10)/120*10</f>
        <v>110</v>
      </c>
    </row>
    <row r="23" spans="1:4" x14ac:dyDescent="0.2">
      <c r="A23" t="s">
        <v>29</v>
      </c>
      <c r="B23" t="s">
        <v>30</v>
      </c>
      <c r="C23" s="3">
        <f>C13/120*10</f>
        <v>-25.316666666666666</v>
      </c>
      <c r="D23" s="3">
        <f>D13/120*10</f>
        <v>-36.166666666666664</v>
      </c>
    </row>
    <row r="24" spans="1:4" x14ac:dyDescent="0.2">
      <c r="A24" t="s">
        <v>32</v>
      </c>
      <c r="C24" s="2">
        <f>SUM(C19:C23)</f>
        <v>2139.0499999999997</v>
      </c>
      <c r="D24" s="2">
        <f>SUM(D19:D23)</f>
        <v>13004.633333333333</v>
      </c>
    </row>
    <row r="26" spans="1:4" x14ac:dyDescent="0.2">
      <c r="A26" s="4" t="s">
        <v>33</v>
      </c>
      <c r="C26">
        <f>C24/C16</f>
        <v>0.78416672776596508</v>
      </c>
      <c r="D26">
        <f>D24/D16</f>
        <v>2.4704850557244176</v>
      </c>
    </row>
    <row r="27" spans="1:4" x14ac:dyDescent="0.2">
      <c r="A27" t="s">
        <v>34</v>
      </c>
      <c r="C27">
        <f>C16/C24</f>
        <v>1.2752390079708285</v>
      </c>
      <c r="D27">
        <f>D16/D24</f>
        <v>0.40477880960375662</v>
      </c>
    </row>
  </sheetData>
  <mergeCells count="1">
    <mergeCell ref="A1:D1"/>
  </mergeCells>
  <pageMargins left="0.75" right="0.75" top="1" bottom="1" header="0.5" footer="0.5"/>
  <pageSetup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Paige Bond</dc:creator>
  <cp:lastModifiedBy>Microsoft Office User</cp:lastModifiedBy>
  <dcterms:created xsi:type="dcterms:W3CDTF">2013-06-17T01:14:26Z</dcterms:created>
  <dcterms:modified xsi:type="dcterms:W3CDTF">2018-04-10T22:50:24Z</dcterms:modified>
</cp:coreProperties>
</file>
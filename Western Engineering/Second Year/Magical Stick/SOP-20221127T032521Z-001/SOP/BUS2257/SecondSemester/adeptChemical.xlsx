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Not Used\Biz 2257\Case ansers and review\"/>
    </mc:Choice>
  </mc:AlternateContent>
  <bookViews>
    <workbookView xWindow="0" yWindow="0" windowWidth="20490" windowHeight="7755" tabRatio="527" activeTab="3"/>
  </bookViews>
  <sheets>
    <sheet name="Given Balance Sheet" sheetId="5" r:id="rId1"/>
    <sheet name="Cash Flows" sheetId="4" r:id="rId2"/>
    <sheet name="Cash Budget" sheetId="2" r:id="rId3"/>
    <sheet name="Differential" sheetId="1" r:id="rId4"/>
    <sheet name="Proj. Income Statement" sheetId="3" r:id="rId5"/>
    <sheet name="Proj. Balance Sheet" sheetId="6" r:id="rId6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7" i="1" l="1"/>
  <c r="D28" i="1"/>
  <c r="D32" i="1"/>
  <c r="D35" i="1"/>
  <c r="D36" i="1"/>
  <c r="D39" i="1"/>
  <c r="C5" i="1"/>
  <c r="D5" i="1"/>
  <c r="D19" i="1"/>
  <c r="E7" i="6"/>
  <c r="E8" i="6"/>
  <c r="C8" i="1"/>
  <c r="D8" i="1"/>
  <c r="D18" i="1"/>
  <c r="E9" i="6"/>
  <c r="E10" i="6"/>
  <c r="E13" i="6"/>
  <c r="E16" i="6"/>
  <c r="E18" i="6"/>
  <c r="E41" i="6"/>
  <c r="D5" i="3"/>
  <c r="E5" i="3"/>
  <c r="E6" i="3"/>
  <c r="E7" i="3"/>
  <c r="E9" i="3"/>
  <c r="E10" i="3"/>
  <c r="E12" i="3"/>
  <c r="E14" i="3"/>
  <c r="C9" i="1"/>
  <c r="D9" i="1"/>
  <c r="C10" i="1"/>
  <c r="D10" i="1"/>
  <c r="C11" i="1"/>
  <c r="D11" i="1"/>
  <c r="E15" i="3"/>
  <c r="E16" i="3"/>
  <c r="E18" i="3"/>
  <c r="E38" i="6"/>
  <c r="D37" i="6"/>
  <c r="E37" i="6"/>
  <c r="E39" i="6"/>
  <c r="E34" i="6"/>
  <c r="E29" i="6"/>
  <c r="D30" i="6"/>
  <c r="E30" i="6"/>
  <c r="D31" i="6"/>
  <c r="E31" i="6"/>
  <c r="E32" i="6"/>
  <c r="E26" i="6"/>
  <c r="D20" i="1"/>
  <c r="E23" i="6"/>
  <c r="D22" i="6"/>
  <c r="E22" i="6"/>
  <c r="D24" i="6"/>
  <c r="E24" i="6"/>
  <c r="E25" i="6"/>
  <c r="C19" i="1"/>
  <c r="D7" i="6"/>
  <c r="C18" i="1"/>
  <c r="D9" i="6"/>
  <c r="D8" i="6"/>
  <c r="D10" i="6"/>
  <c r="C17" i="1"/>
  <c r="D14" i="6"/>
  <c r="D15" i="6"/>
  <c r="D13" i="6"/>
  <c r="D16" i="6"/>
  <c r="D18" i="6"/>
  <c r="D41" i="6"/>
  <c r="D6" i="3"/>
  <c r="D7" i="3"/>
  <c r="D9" i="3"/>
  <c r="D10" i="3"/>
  <c r="D12" i="3"/>
  <c r="D14" i="3"/>
  <c r="D15" i="3"/>
  <c r="D16" i="3"/>
  <c r="D18" i="3"/>
  <c r="D38" i="6"/>
  <c r="D39" i="6"/>
  <c r="D34" i="6"/>
  <c r="D29" i="6"/>
  <c r="D32" i="6"/>
  <c r="D26" i="6"/>
  <c r="C20" i="1"/>
  <c r="D23" i="6"/>
  <c r="D25" i="6"/>
  <c r="C7" i="3"/>
  <c r="C9" i="3"/>
  <c r="C12" i="3"/>
  <c r="C14" i="3"/>
  <c r="C18" i="3"/>
  <c r="C26" i="6"/>
  <c r="C32" i="6"/>
  <c r="C34" i="6"/>
  <c r="C39" i="6"/>
  <c r="C41" i="6"/>
  <c r="C18" i="6"/>
  <c r="C16" i="6"/>
  <c r="C10" i="6"/>
  <c r="C6" i="6"/>
  <c r="B11" i="1"/>
  <c r="M11" i="2"/>
  <c r="E35" i="2"/>
  <c r="E38" i="2"/>
  <c r="M5" i="2"/>
  <c r="B20" i="4"/>
  <c r="F19" i="4"/>
  <c r="E20" i="4"/>
  <c r="E21" i="4"/>
  <c r="C24" i="4"/>
  <c r="B17" i="4"/>
  <c r="B18" i="4"/>
  <c r="B19" i="4"/>
  <c r="C21" i="4"/>
  <c r="F8" i="4"/>
  <c r="E9" i="4"/>
  <c r="B7" i="4"/>
  <c r="B8" i="4"/>
  <c r="B9" i="4"/>
  <c r="B10" i="4"/>
  <c r="B11" i="4"/>
  <c r="B12" i="4"/>
  <c r="C12" i="4"/>
  <c r="C14" i="4"/>
  <c r="C26" i="4"/>
  <c r="C28" i="4"/>
  <c r="D22" i="5"/>
  <c r="D26" i="5"/>
  <c r="D27" i="5"/>
  <c r="D28" i="5"/>
  <c r="D30" i="5"/>
  <c r="D35" i="5"/>
  <c r="D37" i="5"/>
  <c r="C22" i="5"/>
  <c r="C28" i="5"/>
  <c r="C30" i="5"/>
  <c r="C35" i="5"/>
  <c r="C37" i="5"/>
  <c r="D11" i="5"/>
  <c r="D15" i="5"/>
  <c r="C11" i="5"/>
  <c r="C15" i="5"/>
  <c r="B11" i="5"/>
  <c r="B15" i="5"/>
  <c r="B22" i="5"/>
  <c r="B28" i="5"/>
  <c r="B30" i="5"/>
  <c r="B35" i="5"/>
  <c r="B37" i="5"/>
  <c r="M28" i="2"/>
  <c r="F28" i="2"/>
  <c r="G28" i="2"/>
  <c r="H28" i="2"/>
  <c r="E28" i="2"/>
  <c r="D28" i="2"/>
  <c r="M34" i="2"/>
  <c r="C32" i="2"/>
  <c r="C33" i="2"/>
  <c r="C34" i="2"/>
  <c r="C39" i="2"/>
  <c r="C42" i="2"/>
  <c r="C43" i="2"/>
  <c r="D41" i="2"/>
  <c r="D32" i="2"/>
  <c r="D33" i="2"/>
  <c r="D34" i="2"/>
  <c r="D39" i="2"/>
  <c r="D42" i="2"/>
  <c r="D43" i="2"/>
  <c r="E41" i="2"/>
  <c r="E32" i="2"/>
  <c r="E33" i="2"/>
  <c r="E34" i="2"/>
  <c r="E39" i="2"/>
  <c r="E42" i="2"/>
  <c r="E43" i="2"/>
  <c r="F41" i="2"/>
  <c r="F32" i="2"/>
  <c r="F33" i="2"/>
  <c r="F34" i="2"/>
  <c r="F35" i="2"/>
  <c r="F39" i="2"/>
  <c r="F42" i="2"/>
  <c r="F43" i="2"/>
  <c r="G41" i="2"/>
  <c r="G32" i="2"/>
  <c r="G33" i="2"/>
  <c r="G34" i="2"/>
  <c r="G35" i="2"/>
  <c r="G39" i="2"/>
  <c r="G42" i="2"/>
  <c r="G43" i="2"/>
  <c r="H41" i="2"/>
  <c r="H32" i="2"/>
  <c r="H33" i="2"/>
  <c r="H34" i="2"/>
  <c r="H35" i="2"/>
  <c r="H39" i="2"/>
  <c r="H42" i="2"/>
  <c r="H43" i="2"/>
  <c r="I32" i="2"/>
  <c r="I33" i="2"/>
  <c r="I34" i="2"/>
  <c r="I35" i="2"/>
  <c r="I37" i="2"/>
  <c r="I38" i="2"/>
  <c r="I39" i="2"/>
  <c r="I28" i="2"/>
  <c r="C10" i="2"/>
  <c r="C11" i="2"/>
  <c r="C12" i="2"/>
  <c r="C15" i="2"/>
  <c r="C17" i="2"/>
  <c r="C20" i="2"/>
  <c r="C21" i="2"/>
  <c r="D19" i="2"/>
  <c r="D6" i="2"/>
  <c r="D10" i="2"/>
  <c r="D11" i="2"/>
  <c r="D12" i="2"/>
  <c r="D17" i="2"/>
  <c r="D20" i="2"/>
  <c r="D21" i="2"/>
  <c r="E19" i="2"/>
  <c r="E6" i="2"/>
  <c r="E10" i="2"/>
  <c r="E11" i="2"/>
  <c r="E12" i="2"/>
  <c r="E13" i="2"/>
  <c r="E16" i="2"/>
  <c r="E17" i="2"/>
  <c r="E20" i="2"/>
  <c r="E21" i="2"/>
  <c r="F19" i="2"/>
  <c r="F6" i="2"/>
  <c r="F10" i="2"/>
  <c r="F11" i="2"/>
  <c r="F12" i="2"/>
  <c r="F13" i="2"/>
  <c r="F17" i="2"/>
  <c r="F20" i="2"/>
  <c r="F21" i="2"/>
  <c r="G19" i="2"/>
  <c r="G6" i="2"/>
  <c r="G10" i="2"/>
  <c r="G11" i="2"/>
  <c r="G12" i="2"/>
  <c r="G13" i="2"/>
  <c r="G17" i="2"/>
  <c r="G20" i="2"/>
  <c r="G21" i="2"/>
  <c r="H19" i="2"/>
  <c r="H6" i="2"/>
  <c r="H10" i="2"/>
  <c r="H11" i="2"/>
  <c r="H12" i="2"/>
  <c r="H13" i="2"/>
  <c r="H17" i="2"/>
  <c r="H20" i="2"/>
  <c r="H21" i="2"/>
  <c r="I10" i="2"/>
  <c r="I11" i="2"/>
  <c r="I12" i="2"/>
  <c r="I13" i="2"/>
  <c r="I15" i="2"/>
  <c r="I16" i="2"/>
  <c r="I17" i="2"/>
  <c r="I6" i="2"/>
  <c r="D21" i="1"/>
  <c r="D12" i="1"/>
  <c r="D14" i="1"/>
  <c r="D24" i="1"/>
  <c r="C21" i="1"/>
  <c r="C12" i="1"/>
  <c r="C14" i="1"/>
  <c r="C24" i="1"/>
  <c r="D23" i="1"/>
  <c r="C23" i="1"/>
  <c r="XFD19" i="1"/>
</calcChain>
</file>

<file path=xl/sharedStrings.xml><?xml version="1.0" encoding="utf-8"?>
<sst xmlns="http://schemas.openxmlformats.org/spreadsheetml/2006/main" count="255" uniqueCount="151">
  <si>
    <t>ADEPT</t>
  </si>
  <si>
    <t>Original Deal</t>
  </si>
  <si>
    <t>Lower Deal</t>
  </si>
  <si>
    <t>Cash Inflows</t>
  </si>
  <si>
    <t>Sales</t>
  </si>
  <si>
    <t>Cash Outflows</t>
  </si>
  <si>
    <t>COGS</t>
  </si>
  <si>
    <t>37% of Sales (100%-63%)</t>
  </si>
  <si>
    <t>Investments</t>
  </si>
  <si>
    <t>Equipment</t>
  </si>
  <si>
    <t>30,000*9</t>
  </si>
  <si>
    <t>Inventory</t>
  </si>
  <si>
    <t>Cogs/360*30</t>
  </si>
  <si>
    <t>55.5 days (calculated)</t>
  </si>
  <si>
    <t>A/R</t>
  </si>
  <si>
    <t>A/P</t>
  </si>
  <si>
    <t>60 days</t>
  </si>
  <si>
    <t>Salaries</t>
  </si>
  <si>
    <t>Car Allowance</t>
  </si>
  <si>
    <t>Maintenance Costs</t>
  </si>
  <si>
    <t>Given/7% lower</t>
  </si>
  <si>
    <t>Total Outflows</t>
  </si>
  <si>
    <t>Net Cash Flow</t>
  </si>
  <si>
    <t>Total Investments</t>
  </si>
  <si>
    <t>ROI</t>
  </si>
  <si>
    <t>Payback</t>
  </si>
  <si>
    <t>July</t>
  </si>
  <si>
    <t>August</t>
  </si>
  <si>
    <t>September</t>
  </si>
  <si>
    <t>October</t>
  </si>
  <si>
    <t>November</t>
  </si>
  <si>
    <t>December</t>
  </si>
  <si>
    <t>CASH INFLOWS</t>
  </si>
  <si>
    <t>250,000/mo</t>
  </si>
  <si>
    <t>40,000/year</t>
  </si>
  <si>
    <t>10,200/year</t>
  </si>
  <si>
    <t>9,600/year</t>
  </si>
  <si>
    <t>Average Daily Sales</t>
  </si>
  <si>
    <t>Age of A/R</t>
  </si>
  <si>
    <t>55.5 days</t>
  </si>
  <si>
    <t>August will receive 4.5 days of sales (60 days-55.5 days)</t>
  </si>
  <si>
    <t>Average Daily COGS</t>
  </si>
  <si>
    <t>Age of A/P</t>
  </si>
  <si>
    <t>September will need to pay for 60 days of inventory</t>
  </si>
  <si>
    <t>(month to keep in inventory and July's used inventory)</t>
  </si>
  <si>
    <t>Operating Outflows:</t>
  </si>
  <si>
    <t>Investment Outflows:</t>
  </si>
  <si>
    <t>30,000/plant</t>
  </si>
  <si>
    <t>Totals</t>
  </si>
  <si>
    <t>Beginning Cash</t>
  </si>
  <si>
    <t>Ending Cash</t>
  </si>
  <si>
    <t>LOWER DEAL</t>
  </si>
  <si>
    <t>HIGHER DEAL</t>
  </si>
  <si>
    <t>250,000/mo*.93</t>
  </si>
  <si>
    <t>Purchased by Cargill</t>
  </si>
  <si>
    <t>REVENUE</t>
  </si>
  <si>
    <t>Total Revenue</t>
  </si>
  <si>
    <t>Gross Profit</t>
  </si>
  <si>
    <t>Amortization</t>
  </si>
  <si>
    <t>Total Operating Expenses</t>
  </si>
  <si>
    <t>Differential Sales</t>
  </si>
  <si>
    <t>(859,679-634,715)/634,715=35% growth</t>
  </si>
  <si>
    <t>Differential COGS</t>
  </si>
  <si>
    <t>Same $</t>
  </si>
  <si>
    <t>Assumptions</t>
  </si>
  <si>
    <t>ASSETS</t>
  </si>
  <si>
    <t>Current Assets</t>
  </si>
  <si>
    <t>Cash</t>
  </si>
  <si>
    <t>Accounts Receivable</t>
  </si>
  <si>
    <t>Prepaids</t>
  </si>
  <si>
    <t>Total Current Assets</t>
  </si>
  <si>
    <t>Capital Assets</t>
  </si>
  <si>
    <t>Old Capital Assets</t>
  </si>
  <si>
    <t>New Equipment</t>
  </si>
  <si>
    <t>Accumulated Amortization</t>
  </si>
  <si>
    <t>Total Capital Assets</t>
  </si>
  <si>
    <t>Total Assets</t>
  </si>
  <si>
    <t>LIABILITIES &amp; SHAREHOLDERS' EQUITY</t>
  </si>
  <si>
    <t>Current Liabilities</t>
  </si>
  <si>
    <t>Operating Line of Credit</t>
  </si>
  <si>
    <t>Accounts Payable</t>
  </si>
  <si>
    <t>Accrued Liabilities &amp; Other Current Payables</t>
  </si>
  <si>
    <t>Additional Loan</t>
  </si>
  <si>
    <t>Total Current Liabilities</t>
  </si>
  <si>
    <t>Long-Term Liabilities</t>
  </si>
  <si>
    <t>Sodrox Term Loan</t>
  </si>
  <si>
    <t>Shareholder Loan</t>
  </si>
  <si>
    <t>Personal Loan</t>
  </si>
  <si>
    <t>Total Long-term Liabilities</t>
  </si>
  <si>
    <t>Total Liabilities</t>
  </si>
  <si>
    <t>Shareholders' Equity</t>
  </si>
  <si>
    <t>Capital Stock</t>
  </si>
  <si>
    <t>Retained Earnings</t>
  </si>
  <si>
    <t>Total Shareholders' Equity</t>
  </si>
  <si>
    <t>Total Liabilities &amp; Shareholders' Equity</t>
  </si>
  <si>
    <t>Fixed Assets</t>
  </si>
  <si>
    <t>Net Capital Assets</t>
  </si>
  <si>
    <t>BALANCE SHEET</t>
  </si>
  <si>
    <t>Net Income</t>
  </si>
  <si>
    <t>Operating Activities</t>
  </si>
  <si>
    <t>Accrued Liabilities and Other Current Payables</t>
  </si>
  <si>
    <t>Net Cash Flow From Operations</t>
  </si>
  <si>
    <t>Financing Activities</t>
  </si>
  <si>
    <t>Dividends Declared</t>
  </si>
  <si>
    <t>Investing Activities</t>
  </si>
  <si>
    <t>Fixed Asset Purchases</t>
  </si>
  <si>
    <t>O/B</t>
  </si>
  <si>
    <t>N/I</t>
  </si>
  <si>
    <t>E/B</t>
  </si>
  <si>
    <t>Dep'n</t>
  </si>
  <si>
    <t>T/B</t>
  </si>
  <si>
    <t>Purchases</t>
  </si>
  <si>
    <t>Original</t>
  </si>
  <si>
    <t>Lower</t>
  </si>
  <si>
    <t>PLUG</t>
  </si>
  <si>
    <t>given</t>
  </si>
  <si>
    <t>38% of Existing sales</t>
  </si>
  <si>
    <t>Diff. Outflows (Exclude COGS)</t>
  </si>
  <si>
    <t>270,000/10/12</t>
  </si>
  <si>
    <t>NET INCOME</t>
  </si>
  <si>
    <t xml:space="preserve">***Keep in mind the projections are only </t>
  </si>
  <si>
    <t xml:space="preserve">for one month, where as 2007 is for an entire </t>
  </si>
  <si>
    <t>year. This new deal increases revenue SIGNIFICANTLY</t>
  </si>
  <si>
    <t>A/R From 2007 + (Diff A/R*30/55.5)</t>
  </si>
  <si>
    <t>Inv From 2007 + Diff Inv</t>
  </si>
  <si>
    <t>Less 10,990 (Yearly Dep'n)*1/12</t>
  </si>
  <si>
    <t>Taken from Differential</t>
  </si>
  <si>
    <t>270,000/10*(1/12)</t>
  </si>
  <si>
    <t>Same Dollar</t>
  </si>
  <si>
    <t>A/P From 2007 + (Diff A/P*30/60)</t>
  </si>
  <si>
    <t>***ADDITIONAL FINANCING REQUIRED</t>
  </si>
  <si>
    <t>Last Year's R/E + Projected Net Income</t>
  </si>
  <si>
    <t>57% of Existing Sales</t>
  </si>
  <si>
    <t>37% of Differention Sales At Original Price</t>
  </si>
  <si>
    <t>Existing Sales</t>
  </si>
  <si>
    <t>Existing COGS</t>
  </si>
  <si>
    <t>Breakeven</t>
  </si>
  <si>
    <t>Fixed Costs</t>
  </si>
  <si>
    <t>Salary</t>
  </si>
  <si>
    <t xml:space="preserve">***It is important to use the COGS from the I/S, not the differential as the differential </t>
  </si>
  <si>
    <t>Variable Costs</t>
  </si>
  <si>
    <t>Commission</t>
  </si>
  <si>
    <t>sales do not earn a commission, nor will the son have anything to do with the sale to Cargill</t>
  </si>
  <si>
    <t>Breakeven Sales</t>
  </si>
  <si>
    <t>Total Fixed Costs</t>
  </si>
  <si>
    <t>Variable Costs as a Percentage</t>
  </si>
  <si>
    <t>Fixed Costs/CMR</t>
  </si>
  <si>
    <t>Contribution Margin Rate (CMR)</t>
  </si>
  <si>
    <t>50,200/18.1%</t>
  </si>
  <si>
    <t>Total Variable Costs as a Percentage</t>
  </si>
  <si>
    <t>(Sales (As a %)-VC (As a %))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</si>
</sst>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000_);_(* \(#,##0.0000\);_(* &quot;-&quot;??_);_(@_)"/>
    <numFmt numFmtId="167" formatCode="_-* #,##0_-;\-* #,##0_-;_-* &quot;-&quot;??_-;_-@_-"/>
    <numFmt numFmtId="168" formatCode="0.00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theme="1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64" fontId="0" fillId="0" borderId="0" xfId="1" applyFont="1"/>
    <xf numFmtId="165" fontId="0" fillId="0" borderId="0" xfId="1" applyNumberFormat="1" applyFont="1"/>
    <xf numFmtId="165" fontId="0" fillId="0" borderId="2" xfId="1" applyNumberFormat="1" applyFont="1" applyBorder="1"/>
    <xf numFmtId="166" fontId="0" fillId="0" borderId="0" xfId="1" applyNumberFormat="1" applyFont="1"/>
    <xf numFmtId="165" fontId="2" fillId="0" borderId="0" xfId="1" applyNumberFormat="1" applyFont="1"/>
    <xf numFmtId="0" fontId="3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0" fillId="0" borderId="0" xfId="1" applyNumberFormat="1" applyFont="1"/>
    <xf numFmtId="167" fontId="0" fillId="0" borderId="2" xfId="1" applyNumberFormat="1" applyFont="1" applyBorder="1"/>
    <xf numFmtId="9" fontId="0" fillId="0" borderId="0" xfId="2" applyFont="1"/>
    <xf numFmtId="0" fontId="0" fillId="0" borderId="0" xfId="0" applyAlignment="1">
      <alignment horizontal="left" indent="2"/>
    </xf>
    <xf numFmtId="0" fontId="0" fillId="0" borderId="2" xfId="0" applyBorder="1"/>
    <xf numFmtId="165" fontId="7" fillId="0" borderId="0" xfId="1" applyNumberFormat="1" applyFont="1"/>
    <xf numFmtId="9" fontId="0" fillId="0" borderId="0" xfId="0" applyNumberFormat="1"/>
    <xf numFmtId="167" fontId="0" fillId="0" borderId="3" xfId="1" applyNumberFormat="1" applyFont="1" applyBorder="1"/>
    <xf numFmtId="165" fontId="0" fillId="0" borderId="3" xfId="1" applyNumberFormat="1" applyFont="1" applyBorder="1"/>
    <xf numFmtId="0" fontId="0" fillId="0" borderId="6" xfId="0" applyBorder="1"/>
    <xf numFmtId="165" fontId="0" fillId="0" borderId="0" xfId="0" applyNumberFormat="1"/>
    <xf numFmtId="165" fontId="0" fillId="0" borderId="5" xfId="1" applyNumberFormat="1" applyFont="1" applyBorder="1"/>
    <xf numFmtId="165" fontId="0" fillId="0" borderId="7" xfId="1" applyNumberFormat="1" applyFont="1" applyBorder="1"/>
    <xf numFmtId="165" fontId="0" fillId="0" borderId="6" xfId="1" applyNumberFormat="1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65" fontId="0" fillId="0" borderId="0" xfId="1" applyNumberFormat="1" applyFont="1" applyBorder="1"/>
    <xf numFmtId="3" fontId="0" fillId="0" borderId="0" xfId="0" applyNumberFormat="1"/>
    <xf numFmtId="167" fontId="2" fillId="0" borderId="0" xfId="1" applyNumberFormat="1" applyFont="1"/>
    <xf numFmtId="167" fontId="0" fillId="0" borderId="0" xfId="0" applyNumberFormat="1"/>
    <xf numFmtId="165" fontId="0" fillId="2" borderId="2" xfId="1" applyNumberFormat="1" applyFont="1" applyFill="1" applyBorder="1"/>
    <xf numFmtId="10" fontId="0" fillId="0" borderId="0" xfId="0" applyNumberFormat="1"/>
    <xf numFmtId="3" fontId="0" fillId="0" borderId="2" xfId="0" applyNumberFormat="1" applyBorder="1"/>
    <xf numFmtId="10" fontId="0" fillId="0" borderId="2" xfId="0" applyNumberFormat="1" applyBorder="1"/>
    <xf numFmtId="168" fontId="0" fillId="0" borderId="0" xfId="0" applyNumberFormat="1"/>
    <xf numFmtId="0" fontId="9" fillId="0" borderId="0" xfId="0" applyFont="1"/>
    <xf numFmtId="10" fontId="0" fillId="0" borderId="0" xfId="0" applyNumberFormat="1" applyBorder="1"/>
    <xf numFmtId="164" fontId="2" fillId="0" borderId="0" xfId="1" applyFont="1"/>
    <xf numFmtId="0" fontId="8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97">
    <cellStyle name="Comma" xfId="1" builtinId="3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B8" sqref="B8"/>
    </sheetView>
  </sheetViews>
  <sheetFormatPr defaultColWidth="11" defaultRowHeight="15.75" x14ac:dyDescent="0.25"/>
  <cols>
    <col min="1" max="1" width="39.5" customWidth="1"/>
    <col min="2" max="2" width="12.125" bestFit="1" customWidth="1"/>
  </cols>
  <sheetData>
    <row r="1" spans="1:4" ht="27" thickBot="1" x14ac:dyDescent="0.45">
      <c r="A1" s="37" t="s">
        <v>0</v>
      </c>
      <c r="B1" s="37"/>
      <c r="C1" s="37"/>
      <c r="D1" s="37"/>
    </row>
    <row r="2" spans="1:4" x14ac:dyDescent="0.25">
      <c r="A2" s="38" t="s">
        <v>97</v>
      </c>
      <c r="B2" s="38"/>
      <c r="C2" s="38"/>
      <c r="D2" s="38"/>
    </row>
    <row r="4" spans="1:4" x14ac:dyDescent="0.25">
      <c r="B4" s="8">
        <v>2007</v>
      </c>
      <c r="C4">
        <v>2006</v>
      </c>
      <c r="D4">
        <v>2005</v>
      </c>
    </row>
    <row r="5" spans="1:4" x14ac:dyDescent="0.25">
      <c r="A5" t="s">
        <v>65</v>
      </c>
    </row>
    <row r="6" spans="1:4" x14ac:dyDescent="0.25">
      <c r="A6" t="s">
        <v>66</v>
      </c>
      <c r="B6" s="3"/>
    </row>
    <row r="7" spans="1:4" x14ac:dyDescent="0.25">
      <c r="A7" t="s">
        <v>67</v>
      </c>
      <c r="B7" s="3">
        <v>0</v>
      </c>
      <c r="C7" s="3">
        <v>0</v>
      </c>
      <c r="D7" s="3">
        <v>0</v>
      </c>
    </row>
    <row r="8" spans="1:4" x14ac:dyDescent="0.25">
      <c r="A8" t="s">
        <v>68</v>
      </c>
      <c r="B8" s="3">
        <v>132613</v>
      </c>
      <c r="C8" s="3">
        <v>92791</v>
      </c>
      <c r="D8" s="3">
        <v>77794</v>
      </c>
    </row>
    <row r="9" spans="1:4" x14ac:dyDescent="0.25">
      <c r="A9" t="s">
        <v>69</v>
      </c>
      <c r="B9" s="3">
        <v>4388</v>
      </c>
      <c r="C9" s="3">
        <v>3483</v>
      </c>
      <c r="D9" s="3">
        <v>2075</v>
      </c>
    </row>
    <row r="10" spans="1:4" x14ac:dyDescent="0.25">
      <c r="A10" t="s">
        <v>11</v>
      </c>
      <c r="B10" s="4">
        <v>19908</v>
      </c>
      <c r="C10" s="4">
        <v>17943</v>
      </c>
      <c r="D10" s="4">
        <v>20281</v>
      </c>
    </row>
    <row r="11" spans="1:4" x14ac:dyDescent="0.25">
      <c r="A11" t="s">
        <v>70</v>
      </c>
      <c r="B11" s="3">
        <f>SUM(B7:B10)</f>
        <v>156909</v>
      </c>
      <c r="C11" s="3">
        <f>SUM(C7:C10)</f>
        <v>114217</v>
      </c>
      <c r="D11" s="3">
        <f>SUM(D7:D10)</f>
        <v>100150</v>
      </c>
    </row>
    <row r="12" spans="1:4" x14ac:dyDescent="0.25">
      <c r="B12" s="3"/>
      <c r="C12" s="3"/>
      <c r="D12" s="3"/>
    </row>
    <row r="13" spans="1:4" x14ac:dyDescent="0.25">
      <c r="A13" t="s">
        <v>96</v>
      </c>
      <c r="B13" s="4">
        <v>92948</v>
      </c>
      <c r="C13" s="4">
        <v>60287</v>
      </c>
      <c r="D13" s="4">
        <v>68794</v>
      </c>
    </row>
    <row r="14" spans="1:4" x14ac:dyDescent="0.25">
      <c r="B14" s="3"/>
      <c r="C14" s="3"/>
      <c r="D14" s="3"/>
    </row>
    <row r="15" spans="1:4" x14ac:dyDescent="0.25">
      <c r="A15" t="s">
        <v>76</v>
      </c>
      <c r="B15" s="3">
        <f>B11+B13</f>
        <v>249857</v>
      </c>
      <c r="C15" s="9">
        <f>C11+C13</f>
        <v>174504</v>
      </c>
      <c r="D15" s="9">
        <f>D11+D13</f>
        <v>168944</v>
      </c>
    </row>
    <row r="16" spans="1:4" x14ac:dyDescent="0.25">
      <c r="B16" s="3"/>
      <c r="C16" s="3"/>
      <c r="D16" s="3"/>
    </row>
    <row r="17" spans="1:4" x14ac:dyDescent="0.25">
      <c r="A17" t="s">
        <v>77</v>
      </c>
      <c r="B17" s="3"/>
      <c r="C17" s="3"/>
      <c r="D17" s="3"/>
    </row>
    <row r="18" spans="1:4" x14ac:dyDescent="0.25">
      <c r="A18" t="s">
        <v>78</v>
      </c>
      <c r="B18" s="3"/>
      <c r="C18" s="3"/>
      <c r="D18" s="3"/>
    </row>
    <row r="19" spans="1:4" x14ac:dyDescent="0.25">
      <c r="A19" t="s">
        <v>79</v>
      </c>
      <c r="B19" s="3">
        <v>34327</v>
      </c>
      <c r="C19" s="3">
        <v>43078</v>
      </c>
      <c r="D19" s="3">
        <v>63565</v>
      </c>
    </row>
    <row r="20" spans="1:4" x14ac:dyDescent="0.25">
      <c r="A20" t="s">
        <v>80</v>
      </c>
      <c r="B20" s="3">
        <v>113250</v>
      </c>
      <c r="C20" s="3">
        <v>65944</v>
      </c>
      <c r="D20" s="3">
        <v>70227</v>
      </c>
    </row>
    <row r="21" spans="1:4" x14ac:dyDescent="0.25">
      <c r="A21" t="s">
        <v>81</v>
      </c>
      <c r="B21" s="4">
        <v>5575</v>
      </c>
      <c r="C21" s="4">
        <v>6248</v>
      </c>
      <c r="D21" s="4">
        <v>6020</v>
      </c>
    </row>
    <row r="22" spans="1:4" x14ac:dyDescent="0.25">
      <c r="A22" t="s">
        <v>83</v>
      </c>
      <c r="B22" s="3">
        <f>SUM(B19:B21)</f>
        <v>153152</v>
      </c>
      <c r="C22" s="9">
        <f>SUM(C19:C21)</f>
        <v>115270</v>
      </c>
      <c r="D22" s="9">
        <f>SUM(D19:D21)</f>
        <v>139812</v>
      </c>
    </row>
    <row r="23" spans="1:4" x14ac:dyDescent="0.25">
      <c r="B23" s="3"/>
      <c r="C23" s="3"/>
      <c r="D23" s="3"/>
    </row>
    <row r="24" spans="1:4" x14ac:dyDescent="0.25">
      <c r="A24" t="s">
        <v>84</v>
      </c>
      <c r="B24" s="3"/>
      <c r="C24" s="3"/>
      <c r="D24" s="3"/>
    </row>
    <row r="25" spans="1:4" x14ac:dyDescent="0.25">
      <c r="A25" t="s">
        <v>85</v>
      </c>
      <c r="B25" s="3">
        <v>88000</v>
      </c>
      <c r="C25" s="3">
        <v>100000</v>
      </c>
      <c r="D25" s="3">
        <v>100000</v>
      </c>
    </row>
    <row r="26" spans="1:4" x14ac:dyDescent="0.25">
      <c r="A26" t="s">
        <v>86</v>
      </c>
      <c r="B26" s="3">
        <v>45000</v>
      </c>
      <c r="C26" s="3">
        <v>45000</v>
      </c>
      <c r="D26" s="3">
        <f>C26</f>
        <v>45000</v>
      </c>
    </row>
    <row r="27" spans="1:4" x14ac:dyDescent="0.25">
      <c r="A27" t="s">
        <v>87</v>
      </c>
      <c r="B27" s="4">
        <v>42240</v>
      </c>
      <c r="C27" s="4">
        <v>35000</v>
      </c>
      <c r="D27" s="4">
        <f>C27</f>
        <v>35000</v>
      </c>
    </row>
    <row r="28" spans="1:4" x14ac:dyDescent="0.25">
      <c r="A28" t="s">
        <v>88</v>
      </c>
      <c r="B28" s="17">
        <f>SUM(B25:B27)</f>
        <v>175240</v>
      </c>
      <c r="C28" s="16">
        <f>SUM(C25:C27)</f>
        <v>180000</v>
      </c>
      <c r="D28" s="16">
        <f>SUM(D25:D27)</f>
        <v>180000</v>
      </c>
    </row>
    <row r="29" spans="1:4" x14ac:dyDescent="0.25">
      <c r="B29" s="3"/>
      <c r="C29" s="3"/>
      <c r="D29" s="3"/>
    </row>
    <row r="30" spans="1:4" x14ac:dyDescent="0.25">
      <c r="A30" t="s">
        <v>89</v>
      </c>
      <c r="B30" s="3">
        <f>B22+B28</f>
        <v>328392</v>
      </c>
      <c r="C30" s="3">
        <f>C22+C28</f>
        <v>295270</v>
      </c>
      <c r="D30" s="3">
        <f>D22+D28</f>
        <v>319812</v>
      </c>
    </row>
    <row r="31" spans="1:4" x14ac:dyDescent="0.25">
      <c r="B31" s="3"/>
      <c r="C31" s="3"/>
      <c r="D31" s="3"/>
    </row>
    <row r="32" spans="1:4" x14ac:dyDescent="0.25">
      <c r="A32" t="s">
        <v>90</v>
      </c>
      <c r="B32" s="3"/>
      <c r="C32" s="3"/>
      <c r="D32" s="3"/>
    </row>
    <row r="33" spans="1:4" x14ac:dyDescent="0.25">
      <c r="A33" t="s">
        <v>91</v>
      </c>
      <c r="B33" s="3">
        <v>120000</v>
      </c>
      <c r="C33" s="3">
        <v>120000</v>
      </c>
      <c r="D33" s="3">
        <v>120000</v>
      </c>
    </row>
    <row r="34" spans="1:4" x14ac:dyDescent="0.25">
      <c r="A34" t="s">
        <v>92</v>
      </c>
      <c r="B34" s="4">
        <v>-198535</v>
      </c>
      <c r="C34" s="4">
        <v>-240766</v>
      </c>
      <c r="D34" s="4">
        <v>-270868</v>
      </c>
    </row>
    <row r="35" spans="1:4" x14ac:dyDescent="0.25">
      <c r="A35" t="s">
        <v>93</v>
      </c>
      <c r="B35" s="3">
        <f>B33+B34</f>
        <v>-78535</v>
      </c>
      <c r="C35" s="3">
        <f>SUM(C33:C34)</f>
        <v>-120766</v>
      </c>
      <c r="D35" s="3">
        <f>D33+D34</f>
        <v>-150868</v>
      </c>
    </row>
    <row r="36" spans="1:4" x14ac:dyDescent="0.25">
      <c r="B36" s="9"/>
      <c r="C36" s="3"/>
      <c r="D36" s="3"/>
    </row>
    <row r="37" spans="1:4" x14ac:dyDescent="0.25">
      <c r="A37" t="s">
        <v>94</v>
      </c>
      <c r="B37" s="9">
        <f>B30+B35</f>
        <v>249857</v>
      </c>
      <c r="C37" s="3">
        <f>C30+C35</f>
        <v>174504</v>
      </c>
      <c r="D37" s="3">
        <f>D30+D35</f>
        <v>168944</v>
      </c>
    </row>
  </sheetData>
  <mergeCells count="2">
    <mergeCell ref="A1:D1"/>
    <mergeCell ref="A2:D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2" zoomScale="150" zoomScaleNormal="150" zoomScalePageLayoutView="150" workbookViewId="0">
      <selection activeCell="C24" sqref="C24"/>
    </sheetView>
  </sheetViews>
  <sheetFormatPr defaultColWidth="11" defaultRowHeight="15.75" x14ac:dyDescent="0.25"/>
  <cols>
    <col min="1" max="1" width="39.375" customWidth="1"/>
    <col min="5" max="5" width="11.5" bestFit="1" customWidth="1"/>
    <col min="6" max="6" width="11" bestFit="1" customWidth="1"/>
  </cols>
  <sheetData>
    <row r="1" spans="1:6" ht="27" thickBot="1" x14ac:dyDescent="0.45">
      <c r="A1" s="39" t="s">
        <v>0</v>
      </c>
      <c r="B1" s="39"/>
      <c r="C1" s="39"/>
      <c r="D1" s="39"/>
    </row>
    <row r="3" spans="1:6" x14ac:dyDescent="0.25">
      <c r="A3" t="s">
        <v>98</v>
      </c>
      <c r="B3" s="3"/>
      <c r="C3" s="3">
        <v>42231</v>
      </c>
    </row>
    <row r="4" spans="1:6" x14ac:dyDescent="0.25">
      <c r="B4" s="3"/>
      <c r="C4" s="3"/>
    </row>
    <row r="5" spans="1:6" x14ac:dyDescent="0.25">
      <c r="A5" t="s">
        <v>99</v>
      </c>
      <c r="B5" s="3"/>
      <c r="C5" s="3"/>
    </row>
    <row r="6" spans="1:6" x14ac:dyDescent="0.25">
      <c r="A6" t="s">
        <v>58</v>
      </c>
      <c r="B6" s="3">
        <v>10990</v>
      </c>
      <c r="C6" s="3"/>
      <c r="E6" s="40" t="s">
        <v>92</v>
      </c>
      <c r="F6" s="40"/>
    </row>
    <row r="7" spans="1:6" x14ac:dyDescent="0.25">
      <c r="A7" t="s">
        <v>68</v>
      </c>
      <c r="B7" s="3">
        <f>'Given Balance Sheet'!C8-'Given Balance Sheet'!B8</f>
        <v>-39822</v>
      </c>
      <c r="C7" s="3"/>
      <c r="E7" s="20">
        <v>240766</v>
      </c>
      <c r="F7" s="3" t="s">
        <v>106</v>
      </c>
    </row>
    <row r="8" spans="1:6" x14ac:dyDescent="0.25">
      <c r="A8" t="s">
        <v>69</v>
      </c>
      <c r="B8" s="3">
        <f>'Given Balance Sheet'!C9-'Given Balance Sheet'!B9</f>
        <v>-905</v>
      </c>
      <c r="C8" s="3"/>
      <c r="E8" s="21" t="s">
        <v>107</v>
      </c>
      <c r="F8" s="4">
        <f>C3</f>
        <v>42231</v>
      </c>
    </row>
    <row r="9" spans="1:6" x14ac:dyDescent="0.25">
      <c r="A9" t="s">
        <v>11</v>
      </c>
      <c r="B9" s="3">
        <f>'Given Balance Sheet'!C10-'Given Balance Sheet'!B10</f>
        <v>-1965</v>
      </c>
      <c r="C9" s="3"/>
      <c r="E9" s="22">
        <f>E7-F8</f>
        <v>198535</v>
      </c>
      <c r="F9" s="3" t="s">
        <v>108</v>
      </c>
    </row>
    <row r="10" spans="1:6" x14ac:dyDescent="0.25">
      <c r="A10" t="s">
        <v>79</v>
      </c>
      <c r="B10" s="3">
        <f>'Given Balance Sheet'!B19-'Given Balance Sheet'!C19</f>
        <v>-8751</v>
      </c>
      <c r="C10" s="3"/>
      <c r="E10" s="22"/>
      <c r="F10" s="3"/>
    </row>
    <row r="11" spans="1:6" x14ac:dyDescent="0.25">
      <c r="A11" t="s">
        <v>80</v>
      </c>
      <c r="B11" s="3">
        <f>'Given Balance Sheet'!B20-'Given Balance Sheet'!C20</f>
        <v>47306</v>
      </c>
      <c r="C11" s="3"/>
      <c r="E11" s="22"/>
      <c r="F11" s="3"/>
    </row>
    <row r="12" spans="1:6" x14ac:dyDescent="0.25">
      <c r="A12" t="s">
        <v>100</v>
      </c>
      <c r="B12" s="4">
        <f>'Given Balance Sheet'!B21-'Given Balance Sheet'!C21</f>
        <v>-673</v>
      </c>
      <c r="C12" s="4">
        <f>SUM(B6:B12)</f>
        <v>6180</v>
      </c>
      <c r="E12" s="22"/>
      <c r="F12" s="3"/>
    </row>
    <row r="13" spans="1:6" x14ac:dyDescent="0.25">
      <c r="B13" s="3"/>
      <c r="E13" s="22"/>
      <c r="F13" s="3"/>
    </row>
    <row r="14" spans="1:6" x14ac:dyDescent="0.25">
      <c r="A14" t="s">
        <v>101</v>
      </c>
      <c r="B14" s="3"/>
      <c r="C14" s="3">
        <f>C3+C12</f>
        <v>48411</v>
      </c>
      <c r="E14" s="3"/>
      <c r="F14" s="3"/>
    </row>
    <row r="15" spans="1:6" x14ac:dyDescent="0.25">
      <c r="B15" s="3"/>
      <c r="C15" s="3"/>
      <c r="E15" s="3"/>
      <c r="F15" s="3"/>
    </row>
    <row r="16" spans="1:6" x14ac:dyDescent="0.25">
      <c r="A16" t="s">
        <v>102</v>
      </c>
      <c r="B16" s="3"/>
      <c r="C16" s="3"/>
      <c r="E16" s="3"/>
      <c r="F16" s="3"/>
    </row>
    <row r="17" spans="1:6" x14ac:dyDescent="0.25">
      <c r="A17" t="s">
        <v>85</v>
      </c>
      <c r="B17" s="3">
        <f>'Given Balance Sheet'!B25-'Given Balance Sheet'!C25</f>
        <v>-12000</v>
      </c>
      <c r="C17" s="3"/>
      <c r="E17" s="41" t="s">
        <v>95</v>
      </c>
      <c r="F17" s="41"/>
    </row>
    <row r="18" spans="1:6" x14ac:dyDescent="0.25">
      <c r="A18" t="s">
        <v>86</v>
      </c>
      <c r="B18" s="3">
        <f>'Given Balance Sheet'!B26-'Given Balance Sheet'!C26</f>
        <v>0</v>
      </c>
      <c r="C18" s="3"/>
      <c r="E18" s="20">
        <v>60287</v>
      </c>
      <c r="F18" s="3" t="s">
        <v>106</v>
      </c>
    </row>
    <row r="19" spans="1:6" x14ac:dyDescent="0.25">
      <c r="A19" t="s">
        <v>87</v>
      </c>
      <c r="B19" s="3">
        <f>'Given Balance Sheet'!B27-'Given Balance Sheet'!C27</f>
        <v>7240</v>
      </c>
      <c r="C19" s="3"/>
      <c r="E19" s="21" t="s">
        <v>109</v>
      </c>
      <c r="F19" s="4">
        <f>B6</f>
        <v>10990</v>
      </c>
    </row>
    <row r="20" spans="1:6" x14ac:dyDescent="0.25">
      <c r="A20" t="s">
        <v>91</v>
      </c>
      <c r="B20" s="3">
        <f>'Given Balance Sheet'!C33-'Given Balance Sheet'!B33</f>
        <v>0</v>
      </c>
      <c r="C20" s="3"/>
      <c r="E20" s="22">
        <f>E18-F19</f>
        <v>49297</v>
      </c>
      <c r="F20" s="3" t="s">
        <v>110</v>
      </c>
    </row>
    <row r="21" spans="1:6" x14ac:dyDescent="0.25">
      <c r="A21" t="s">
        <v>103</v>
      </c>
      <c r="B21" s="4">
        <v>0</v>
      </c>
      <c r="C21" s="3">
        <f>SUM(B17:B21)</f>
        <v>-4760</v>
      </c>
      <c r="E21" s="21">
        <f>E22-E20</f>
        <v>43651</v>
      </c>
      <c r="F21" s="4" t="s">
        <v>111</v>
      </c>
    </row>
    <row r="22" spans="1:6" x14ac:dyDescent="0.25">
      <c r="B22" s="3"/>
      <c r="C22" s="3"/>
      <c r="E22" s="22">
        <v>92948</v>
      </c>
      <c r="F22" s="3" t="s">
        <v>108</v>
      </c>
    </row>
    <row r="23" spans="1:6" x14ac:dyDescent="0.25">
      <c r="A23" t="s">
        <v>104</v>
      </c>
      <c r="B23" s="3"/>
      <c r="C23" s="3"/>
      <c r="E23" s="18"/>
    </row>
    <row r="24" spans="1:6" x14ac:dyDescent="0.25">
      <c r="A24" t="s">
        <v>105</v>
      </c>
      <c r="B24" s="3"/>
      <c r="C24" s="4">
        <f>-E21</f>
        <v>-43651</v>
      </c>
      <c r="E24" s="18"/>
    </row>
    <row r="25" spans="1:6" x14ac:dyDescent="0.25">
      <c r="B25" s="3"/>
      <c r="C25" s="3"/>
    </row>
    <row r="26" spans="1:6" x14ac:dyDescent="0.25">
      <c r="A26" t="s">
        <v>22</v>
      </c>
      <c r="B26" s="3"/>
      <c r="C26" s="3">
        <f>C14+C21+C24</f>
        <v>0</v>
      </c>
    </row>
    <row r="27" spans="1:6" x14ac:dyDescent="0.25">
      <c r="A27" t="s">
        <v>49</v>
      </c>
      <c r="B27" s="3"/>
      <c r="C27" s="4">
        <v>0</v>
      </c>
    </row>
    <row r="28" spans="1:6" x14ac:dyDescent="0.25">
      <c r="A28" t="s">
        <v>50</v>
      </c>
      <c r="B28" s="3"/>
      <c r="C28" s="3">
        <f>C26+C27</f>
        <v>0</v>
      </c>
    </row>
    <row r="29" spans="1:6" x14ac:dyDescent="0.25">
      <c r="B29" s="3"/>
      <c r="C29" s="3"/>
    </row>
    <row r="30" spans="1:6" x14ac:dyDescent="0.25">
      <c r="B30" s="3"/>
      <c r="C30" s="3"/>
    </row>
    <row r="31" spans="1:6" x14ac:dyDescent="0.25">
      <c r="B31" s="3"/>
      <c r="C31" s="3"/>
    </row>
    <row r="32" spans="1:6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</sheetData>
  <mergeCells count="3">
    <mergeCell ref="A1:D1"/>
    <mergeCell ref="E6:F6"/>
    <mergeCell ref="E17:F17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125" zoomScaleNormal="125" zoomScalePageLayoutView="125" workbookViewId="0">
      <selection activeCell="L16" sqref="L16"/>
    </sheetView>
  </sheetViews>
  <sheetFormatPr defaultColWidth="11" defaultRowHeight="15.75" x14ac:dyDescent="0.25"/>
  <cols>
    <col min="1" max="1" width="21.625" customWidth="1"/>
    <col min="2" max="2" width="17.625" customWidth="1"/>
    <col min="3" max="8" width="11.5" bestFit="1" customWidth="1"/>
  </cols>
  <sheetData>
    <row r="1" spans="1:15" ht="27" thickBot="1" x14ac:dyDescent="0.45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15" ht="26.25" x14ac:dyDescent="0.4">
      <c r="A2" s="7"/>
      <c r="B2" s="7"/>
      <c r="C2" s="7"/>
      <c r="D2" s="7"/>
      <c r="E2" s="7"/>
      <c r="F2" s="7"/>
      <c r="G2" s="7"/>
      <c r="H2" s="7"/>
      <c r="I2" s="7"/>
    </row>
    <row r="3" spans="1:15" x14ac:dyDescent="0.25">
      <c r="A3" s="42" t="s">
        <v>52</v>
      </c>
      <c r="B3" s="42"/>
    </row>
    <row r="4" spans="1:15" x14ac:dyDescent="0.25"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48</v>
      </c>
      <c r="M4" t="s">
        <v>37</v>
      </c>
      <c r="O4" t="s">
        <v>38</v>
      </c>
    </row>
    <row r="5" spans="1:15" x14ac:dyDescent="0.25">
      <c r="A5" t="s">
        <v>32</v>
      </c>
      <c r="I5" s="3"/>
      <c r="M5">
        <f>(250000*12)/360</f>
        <v>8333.3333333333339</v>
      </c>
      <c r="O5" t="s">
        <v>39</v>
      </c>
    </row>
    <row r="6" spans="1:15" x14ac:dyDescent="0.25">
      <c r="A6" t="s">
        <v>4</v>
      </c>
      <c r="B6" t="s">
        <v>33</v>
      </c>
      <c r="C6" s="3"/>
      <c r="D6" s="3">
        <f>M5*4.5</f>
        <v>37500</v>
      </c>
      <c r="E6" s="3">
        <f>$M$5*30</f>
        <v>250000.00000000003</v>
      </c>
      <c r="F6" s="3">
        <f t="shared" ref="F6:H6" si="0">$M$5*30</f>
        <v>250000.00000000003</v>
      </c>
      <c r="G6" s="3">
        <f t="shared" si="0"/>
        <v>250000.00000000003</v>
      </c>
      <c r="H6" s="3">
        <f t="shared" si="0"/>
        <v>250000.00000000003</v>
      </c>
      <c r="I6" s="3">
        <f>SUM(C6:H6)</f>
        <v>1037500</v>
      </c>
    </row>
    <row r="7" spans="1:15" x14ac:dyDescent="0.25">
      <c r="C7" s="3"/>
      <c r="D7" s="3"/>
      <c r="E7" s="3"/>
      <c r="F7" s="3"/>
      <c r="G7" s="3"/>
      <c r="H7" s="3"/>
      <c r="I7" s="3"/>
      <c r="M7" t="s">
        <v>40</v>
      </c>
    </row>
    <row r="8" spans="1:15" x14ac:dyDescent="0.25">
      <c r="A8" t="s">
        <v>5</v>
      </c>
      <c r="C8" s="3"/>
      <c r="D8" s="3"/>
      <c r="E8" s="3"/>
      <c r="F8" s="3"/>
      <c r="G8" s="3"/>
      <c r="H8" s="3"/>
      <c r="I8" s="3"/>
    </row>
    <row r="9" spans="1:15" x14ac:dyDescent="0.25">
      <c r="A9" t="s">
        <v>45</v>
      </c>
      <c r="C9" s="3"/>
      <c r="D9" s="3"/>
      <c r="E9" s="3"/>
      <c r="F9" s="3"/>
      <c r="G9" s="3"/>
      <c r="H9" s="3"/>
      <c r="I9" s="3"/>
    </row>
    <row r="10" spans="1:15" x14ac:dyDescent="0.25">
      <c r="A10" t="s">
        <v>17</v>
      </c>
      <c r="B10" t="s">
        <v>34</v>
      </c>
      <c r="C10" s="3">
        <f>40000/12</f>
        <v>3333.3333333333335</v>
      </c>
      <c r="D10" s="3">
        <f t="shared" ref="D10:H10" si="1">40000/12</f>
        <v>3333.3333333333335</v>
      </c>
      <c r="E10" s="3">
        <f t="shared" si="1"/>
        <v>3333.3333333333335</v>
      </c>
      <c r="F10" s="3">
        <f t="shared" si="1"/>
        <v>3333.3333333333335</v>
      </c>
      <c r="G10" s="3">
        <f t="shared" si="1"/>
        <v>3333.3333333333335</v>
      </c>
      <c r="H10" s="3">
        <f t="shared" si="1"/>
        <v>3333.3333333333335</v>
      </c>
      <c r="I10" s="3">
        <f t="shared" ref="I10:I16" si="2">SUM(C10:H10)</f>
        <v>20000</v>
      </c>
      <c r="M10" t="s">
        <v>41</v>
      </c>
      <c r="O10" t="s">
        <v>42</v>
      </c>
    </row>
    <row r="11" spans="1:15" x14ac:dyDescent="0.25">
      <c r="A11" t="s">
        <v>18</v>
      </c>
      <c r="B11" t="s">
        <v>35</v>
      </c>
      <c r="C11" s="3">
        <f>10200/12</f>
        <v>850</v>
      </c>
      <c r="D11" s="3">
        <f t="shared" ref="D11:H11" si="3">10200/12</f>
        <v>850</v>
      </c>
      <c r="E11" s="3">
        <f t="shared" si="3"/>
        <v>850</v>
      </c>
      <c r="F11" s="3">
        <f t="shared" si="3"/>
        <v>850</v>
      </c>
      <c r="G11" s="3">
        <f t="shared" si="3"/>
        <v>850</v>
      </c>
      <c r="H11" s="3">
        <f t="shared" si="3"/>
        <v>850</v>
      </c>
      <c r="I11" s="3">
        <f t="shared" si="2"/>
        <v>5100</v>
      </c>
      <c r="M11">
        <f>(250000*12)*0.37/360</f>
        <v>3083.3333333333335</v>
      </c>
      <c r="O11" t="s">
        <v>16</v>
      </c>
    </row>
    <row r="12" spans="1:15" x14ac:dyDescent="0.25">
      <c r="A12" t="s">
        <v>19</v>
      </c>
      <c r="B12" t="s">
        <v>36</v>
      </c>
      <c r="C12" s="3">
        <f>9600/12</f>
        <v>800</v>
      </c>
      <c r="D12" s="3">
        <f t="shared" ref="D12:H12" si="4">9600/12</f>
        <v>800</v>
      </c>
      <c r="E12" s="3">
        <f t="shared" si="4"/>
        <v>800</v>
      </c>
      <c r="F12" s="3">
        <f t="shared" si="4"/>
        <v>800</v>
      </c>
      <c r="G12" s="3">
        <f t="shared" si="4"/>
        <v>800</v>
      </c>
      <c r="H12" s="3">
        <f t="shared" si="4"/>
        <v>800</v>
      </c>
      <c r="I12" s="3">
        <f t="shared" si="2"/>
        <v>4800</v>
      </c>
    </row>
    <row r="13" spans="1:15" x14ac:dyDescent="0.25">
      <c r="A13" t="s">
        <v>6</v>
      </c>
      <c r="C13" s="3"/>
      <c r="D13" s="3"/>
      <c r="E13" s="3">
        <f>$M$11*30</f>
        <v>92500</v>
      </c>
      <c r="F13" s="3">
        <f t="shared" ref="F13:H13" si="5">$M$11*30</f>
        <v>92500</v>
      </c>
      <c r="G13" s="3">
        <f t="shared" si="5"/>
        <v>92500</v>
      </c>
      <c r="H13" s="3">
        <f t="shared" si="5"/>
        <v>92500</v>
      </c>
      <c r="I13" s="3">
        <f t="shared" si="2"/>
        <v>370000</v>
      </c>
      <c r="M13" t="s">
        <v>43</v>
      </c>
    </row>
    <row r="14" spans="1:15" x14ac:dyDescent="0.25">
      <c r="A14" t="s">
        <v>46</v>
      </c>
      <c r="C14" s="3"/>
      <c r="D14" s="3"/>
      <c r="E14" s="3"/>
      <c r="F14" s="3"/>
      <c r="G14" s="3"/>
      <c r="H14" s="3"/>
      <c r="I14" s="3"/>
      <c r="M14" t="s">
        <v>44</v>
      </c>
    </row>
    <row r="15" spans="1:15" x14ac:dyDescent="0.25">
      <c r="A15" t="s">
        <v>9</v>
      </c>
      <c r="B15" t="s">
        <v>47</v>
      </c>
      <c r="C15" s="3">
        <f>30000*9</f>
        <v>270000</v>
      </c>
      <c r="D15" s="3"/>
      <c r="E15" s="3"/>
      <c r="F15" s="3"/>
      <c r="G15" s="3"/>
      <c r="H15" s="3"/>
      <c r="I15" s="3">
        <f t="shared" si="2"/>
        <v>270000</v>
      </c>
    </row>
    <row r="16" spans="1:15" x14ac:dyDescent="0.25">
      <c r="A16" t="s">
        <v>11</v>
      </c>
      <c r="C16" s="4"/>
      <c r="D16" s="4"/>
      <c r="E16" s="4">
        <f>M11*30</f>
        <v>92500</v>
      </c>
      <c r="F16" s="4"/>
      <c r="G16" s="4"/>
      <c r="H16" s="4"/>
      <c r="I16" s="4">
        <f t="shared" si="2"/>
        <v>92500</v>
      </c>
    </row>
    <row r="17" spans="1:15" x14ac:dyDescent="0.25">
      <c r="A17" t="s">
        <v>21</v>
      </c>
      <c r="C17" s="3">
        <f>SUM(C10:C16)</f>
        <v>274983.33333333331</v>
      </c>
      <c r="D17" s="3">
        <f t="shared" ref="D17:I17" si="6">SUM(D10:D16)</f>
        <v>4983.3333333333339</v>
      </c>
      <c r="E17" s="3">
        <f t="shared" si="6"/>
        <v>189983.33333333331</v>
      </c>
      <c r="F17" s="3">
        <f t="shared" si="6"/>
        <v>97483.333333333328</v>
      </c>
      <c r="G17" s="3">
        <f t="shared" si="6"/>
        <v>97483.333333333328</v>
      </c>
      <c r="H17" s="3">
        <f t="shared" si="6"/>
        <v>97483.333333333328</v>
      </c>
      <c r="I17" s="3">
        <f t="shared" si="6"/>
        <v>762400</v>
      </c>
    </row>
    <row r="18" spans="1:15" x14ac:dyDescent="0.25">
      <c r="C18" s="3"/>
      <c r="D18" s="3"/>
      <c r="E18" s="3"/>
      <c r="F18" s="3"/>
      <c r="G18" s="3"/>
      <c r="H18" s="3"/>
      <c r="I18" s="3"/>
    </row>
    <row r="19" spans="1:15" x14ac:dyDescent="0.25">
      <c r="A19" t="s">
        <v>49</v>
      </c>
      <c r="C19" s="3">
        <v>0</v>
      </c>
      <c r="D19" s="3">
        <f>C21</f>
        <v>-274983.33333333331</v>
      </c>
      <c r="E19" s="3">
        <f t="shared" ref="E19:H19" si="7">D21</f>
        <v>-242466.66666666666</v>
      </c>
      <c r="F19" s="3">
        <f t="shared" si="7"/>
        <v>-182449.99999999994</v>
      </c>
      <c r="G19" s="3">
        <f t="shared" si="7"/>
        <v>-29933.333333333256</v>
      </c>
      <c r="H19" s="3">
        <f t="shared" si="7"/>
        <v>122583.33333333343</v>
      </c>
      <c r="I19" s="3"/>
    </row>
    <row r="20" spans="1:15" x14ac:dyDescent="0.25">
      <c r="A20" t="s">
        <v>22</v>
      </c>
      <c r="C20" s="4">
        <f>C6-C17</f>
        <v>-274983.33333333331</v>
      </c>
      <c r="D20" s="4">
        <f t="shared" ref="D20:H20" si="8">D6-D17</f>
        <v>32516.666666666664</v>
      </c>
      <c r="E20" s="4">
        <f t="shared" si="8"/>
        <v>60016.666666666715</v>
      </c>
      <c r="F20" s="4">
        <f t="shared" si="8"/>
        <v>152516.66666666669</v>
      </c>
      <c r="G20" s="4">
        <f t="shared" si="8"/>
        <v>152516.66666666669</v>
      </c>
      <c r="H20" s="4">
        <f t="shared" si="8"/>
        <v>152516.66666666669</v>
      </c>
      <c r="I20" s="3"/>
    </row>
    <row r="21" spans="1:15" x14ac:dyDescent="0.25">
      <c r="A21" t="s">
        <v>50</v>
      </c>
      <c r="C21" s="3">
        <f>C19+C20</f>
        <v>-274983.33333333331</v>
      </c>
      <c r="D21" s="3">
        <f t="shared" ref="D21:H21" si="9">D19+D20</f>
        <v>-242466.66666666666</v>
      </c>
      <c r="E21" s="3">
        <f t="shared" si="9"/>
        <v>-182449.99999999994</v>
      </c>
      <c r="F21" s="3">
        <f t="shared" si="9"/>
        <v>-29933.333333333256</v>
      </c>
      <c r="G21" s="3">
        <f t="shared" si="9"/>
        <v>122583.33333333343</v>
      </c>
      <c r="H21" s="6">
        <f t="shared" si="9"/>
        <v>275100.00000000012</v>
      </c>
      <c r="I21" s="3"/>
    </row>
    <row r="22" spans="1:15" x14ac:dyDescent="0.25">
      <c r="C22" s="3"/>
      <c r="D22" s="3"/>
      <c r="E22" s="3"/>
      <c r="F22" s="3"/>
      <c r="G22" s="3"/>
      <c r="H22" s="3"/>
      <c r="I22" s="3"/>
    </row>
    <row r="23" spans="1:15" x14ac:dyDescent="0.25">
      <c r="C23" s="3"/>
      <c r="D23" s="3"/>
      <c r="E23" s="3"/>
      <c r="F23" s="3"/>
      <c r="G23" s="3"/>
      <c r="H23" s="3"/>
      <c r="I23" s="3"/>
    </row>
    <row r="24" spans="1:15" x14ac:dyDescent="0.25">
      <c r="A24" s="42" t="s">
        <v>51</v>
      </c>
      <c r="B24" s="42"/>
    </row>
    <row r="26" spans="1:15" x14ac:dyDescent="0.25">
      <c r="C26" t="s">
        <v>26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48</v>
      </c>
    </row>
    <row r="27" spans="1:15" x14ac:dyDescent="0.25">
      <c r="A27" t="s">
        <v>32</v>
      </c>
      <c r="I27" s="3"/>
      <c r="M27" t="s">
        <v>37</v>
      </c>
      <c r="O27" t="s">
        <v>38</v>
      </c>
    </row>
    <row r="28" spans="1:15" x14ac:dyDescent="0.25">
      <c r="A28" t="s">
        <v>4</v>
      </c>
      <c r="B28" t="s">
        <v>53</v>
      </c>
      <c r="C28" s="3"/>
      <c r="D28" s="3">
        <f>M28*4.5</f>
        <v>34875</v>
      </c>
      <c r="E28" s="3">
        <f>$M$28*30</f>
        <v>232500</v>
      </c>
      <c r="F28" s="3">
        <f t="shared" ref="F28:H28" si="10">$M$28*30</f>
        <v>232500</v>
      </c>
      <c r="G28" s="3">
        <f t="shared" si="10"/>
        <v>232500</v>
      </c>
      <c r="H28" s="3">
        <f t="shared" si="10"/>
        <v>232500</v>
      </c>
      <c r="I28" s="3">
        <f>SUM(C28:H28)</f>
        <v>964875</v>
      </c>
      <c r="M28">
        <f>(250000*12*0.93)/360</f>
        <v>7750</v>
      </c>
      <c r="O28" t="s">
        <v>39</v>
      </c>
    </row>
    <row r="29" spans="1:15" x14ac:dyDescent="0.25">
      <c r="C29" s="3"/>
      <c r="D29" s="3"/>
      <c r="E29" s="3"/>
      <c r="F29" s="3"/>
      <c r="G29" s="3"/>
      <c r="H29" s="3"/>
      <c r="I29" s="3"/>
    </row>
    <row r="30" spans="1:15" x14ac:dyDescent="0.25">
      <c r="A30" t="s">
        <v>5</v>
      </c>
      <c r="C30" s="3"/>
      <c r="D30" s="3"/>
      <c r="E30" s="3"/>
      <c r="F30" s="3"/>
      <c r="G30" s="3"/>
      <c r="H30" s="3"/>
      <c r="I30" s="3"/>
      <c r="M30" t="s">
        <v>40</v>
      </c>
    </row>
    <row r="31" spans="1:15" x14ac:dyDescent="0.25">
      <c r="A31" t="s">
        <v>45</v>
      </c>
      <c r="C31" s="3"/>
      <c r="D31" s="3"/>
      <c r="E31" s="3"/>
      <c r="F31" s="3"/>
      <c r="G31" s="3"/>
      <c r="H31" s="3"/>
      <c r="I31" s="3"/>
    </row>
    <row r="32" spans="1:15" x14ac:dyDescent="0.25">
      <c r="A32" t="s">
        <v>17</v>
      </c>
      <c r="B32" t="s">
        <v>34</v>
      </c>
      <c r="C32" s="3">
        <f>40000/12</f>
        <v>3333.3333333333335</v>
      </c>
      <c r="D32" s="3">
        <f t="shared" ref="D32:H32" si="11">40000/12</f>
        <v>3333.3333333333335</v>
      </c>
      <c r="E32" s="3">
        <f t="shared" si="11"/>
        <v>3333.3333333333335</v>
      </c>
      <c r="F32" s="3">
        <f t="shared" si="11"/>
        <v>3333.3333333333335</v>
      </c>
      <c r="G32" s="3">
        <f t="shared" si="11"/>
        <v>3333.3333333333335</v>
      </c>
      <c r="H32" s="3">
        <f t="shared" si="11"/>
        <v>3333.3333333333335</v>
      </c>
      <c r="I32" s="3">
        <f t="shared" ref="I32:I35" si="12">SUM(C32:H32)</f>
        <v>20000</v>
      </c>
    </row>
    <row r="33" spans="1:15" x14ac:dyDescent="0.25">
      <c r="A33" t="s">
        <v>18</v>
      </c>
      <c r="B33" t="s">
        <v>35</v>
      </c>
      <c r="C33" s="3">
        <f>10200/12</f>
        <v>850</v>
      </c>
      <c r="D33" s="3">
        <f t="shared" ref="D33:H33" si="13">10200/12</f>
        <v>850</v>
      </c>
      <c r="E33" s="3">
        <f t="shared" si="13"/>
        <v>850</v>
      </c>
      <c r="F33" s="3">
        <f t="shared" si="13"/>
        <v>850</v>
      </c>
      <c r="G33" s="3">
        <f t="shared" si="13"/>
        <v>850</v>
      </c>
      <c r="H33" s="3">
        <f t="shared" si="13"/>
        <v>850</v>
      </c>
      <c r="I33" s="3">
        <f t="shared" si="12"/>
        <v>5100</v>
      </c>
      <c r="M33" t="s">
        <v>41</v>
      </c>
      <c r="O33" t="s">
        <v>42</v>
      </c>
    </row>
    <row r="34" spans="1:15" x14ac:dyDescent="0.25">
      <c r="A34" t="s">
        <v>19</v>
      </c>
      <c r="B34" t="s">
        <v>36</v>
      </c>
      <c r="C34" s="3">
        <f>9600/12</f>
        <v>800</v>
      </c>
      <c r="D34" s="3">
        <f t="shared" ref="D34:H34" si="14">9600/12</f>
        <v>800</v>
      </c>
      <c r="E34" s="3">
        <f t="shared" si="14"/>
        <v>800</v>
      </c>
      <c r="F34" s="3">
        <f t="shared" si="14"/>
        <v>800</v>
      </c>
      <c r="G34" s="3">
        <f t="shared" si="14"/>
        <v>800</v>
      </c>
      <c r="H34" s="3">
        <f t="shared" si="14"/>
        <v>800</v>
      </c>
      <c r="I34" s="3">
        <f t="shared" si="12"/>
        <v>4800</v>
      </c>
      <c r="M34">
        <f>(250000*12)*0.37/360</f>
        <v>3083.3333333333335</v>
      </c>
      <c r="O34" t="s">
        <v>16</v>
      </c>
    </row>
    <row r="35" spans="1:15" x14ac:dyDescent="0.25">
      <c r="A35" t="s">
        <v>6</v>
      </c>
      <c r="C35" s="3"/>
      <c r="D35" s="3"/>
      <c r="E35" s="3">
        <f>$M$11*30</f>
        <v>92500</v>
      </c>
      <c r="F35" s="3">
        <f t="shared" ref="F35:H35" si="15">$M$11*30</f>
        <v>92500</v>
      </c>
      <c r="G35" s="3">
        <f t="shared" si="15"/>
        <v>92500</v>
      </c>
      <c r="H35" s="3">
        <f t="shared" si="15"/>
        <v>92500</v>
      </c>
      <c r="I35" s="3">
        <f t="shared" si="12"/>
        <v>370000</v>
      </c>
    </row>
    <row r="36" spans="1:15" x14ac:dyDescent="0.25">
      <c r="A36" t="s">
        <v>46</v>
      </c>
      <c r="C36" s="3"/>
      <c r="D36" s="3"/>
      <c r="E36" s="3"/>
      <c r="F36" s="3"/>
      <c r="G36" s="3"/>
      <c r="H36" s="3"/>
      <c r="I36" s="3"/>
      <c r="M36" t="s">
        <v>43</v>
      </c>
    </row>
    <row r="37" spans="1:15" x14ac:dyDescent="0.25">
      <c r="A37" t="s">
        <v>9</v>
      </c>
      <c r="B37" t="s">
        <v>54</v>
      </c>
      <c r="C37" s="3"/>
      <c r="D37" s="3"/>
      <c r="E37" s="3"/>
      <c r="F37" s="3"/>
      <c r="G37" s="3"/>
      <c r="H37" s="3"/>
      <c r="I37" s="3">
        <f t="shared" ref="I37:I38" si="16">SUM(C37:H37)</f>
        <v>0</v>
      </c>
      <c r="M37" t="s">
        <v>44</v>
      </c>
    </row>
    <row r="38" spans="1:15" x14ac:dyDescent="0.25">
      <c r="A38" t="s">
        <v>11</v>
      </c>
      <c r="C38" s="4"/>
      <c r="D38" s="4"/>
      <c r="E38" s="4">
        <f>E35</f>
        <v>92500</v>
      </c>
      <c r="F38" s="4"/>
      <c r="G38" s="4"/>
      <c r="H38" s="4"/>
      <c r="I38" s="4">
        <f t="shared" si="16"/>
        <v>92500</v>
      </c>
    </row>
    <row r="39" spans="1:15" x14ac:dyDescent="0.25">
      <c r="A39" t="s">
        <v>21</v>
      </c>
      <c r="C39" s="3">
        <f>SUM(C32:C38)</f>
        <v>4983.3333333333339</v>
      </c>
      <c r="D39" s="3">
        <f t="shared" ref="D39" si="17">SUM(D32:D38)</f>
        <v>4983.3333333333339</v>
      </c>
      <c r="E39" s="3">
        <f t="shared" ref="E39" si="18">SUM(E32:E38)</f>
        <v>189983.33333333331</v>
      </c>
      <c r="F39" s="3">
        <f t="shared" ref="F39" si="19">SUM(F32:F38)</f>
        <v>97483.333333333328</v>
      </c>
      <c r="G39" s="3">
        <f t="shared" ref="G39" si="20">SUM(G32:G38)</f>
        <v>97483.333333333328</v>
      </c>
      <c r="H39" s="3">
        <f t="shared" ref="H39" si="21">SUM(H32:H38)</f>
        <v>97483.333333333328</v>
      </c>
      <c r="I39" s="3">
        <f t="shared" ref="I39" si="22">SUM(I32:I38)</f>
        <v>492400</v>
      </c>
    </row>
    <row r="40" spans="1:15" x14ac:dyDescent="0.25">
      <c r="C40" s="3"/>
      <c r="D40" s="3"/>
      <c r="E40" s="3"/>
      <c r="F40" s="3"/>
      <c r="G40" s="3"/>
      <c r="H40" s="3"/>
      <c r="I40" s="3"/>
    </row>
    <row r="41" spans="1:15" x14ac:dyDescent="0.25">
      <c r="A41" t="s">
        <v>49</v>
      </c>
      <c r="C41" s="3">
        <v>0</v>
      </c>
      <c r="D41" s="3">
        <f>C43</f>
        <v>-4983.3333333333339</v>
      </c>
      <c r="E41" s="3">
        <f t="shared" ref="E41:H41" si="23">D43</f>
        <v>24908.333333333328</v>
      </c>
      <c r="F41" s="3">
        <f t="shared" si="23"/>
        <v>67425.000000000015</v>
      </c>
      <c r="G41" s="3">
        <f t="shared" si="23"/>
        <v>202441.66666666669</v>
      </c>
      <c r="H41" s="3">
        <f t="shared" si="23"/>
        <v>337458.33333333337</v>
      </c>
      <c r="I41" s="3"/>
    </row>
    <row r="42" spans="1:15" x14ac:dyDescent="0.25">
      <c r="A42" t="s">
        <v>22</v>
      </c>
      <c r="C42" s="4">
        <f>C28-C39</f>
        <v>-4983.3333333333339</v>
      </c>
      <c r="D42" s="4">
        <f t="shared" ref="D42:H42" si="24">D28-D39</f>
        <v>29891.666666666664</v>
      </c>
      <c r="E42" s="4">
        <f t="shared" si="24"/>
        <v>42516.666666666686</v>
      </c>
      <c r="F42" s="4">
        <f t="shared" si="24"/>
        <v>135016.66666666669</v>
      </c>
      <c r="G42" s="4">
        <f t="shared" si="24"/>
        <v>135016.66666666669</v>
      </c>
      <c r="H42" s="4">
        <f t="shared" si="24"/>
        <v>135016.66666666669</v>
      </c>
      <c r="I42" s="3"/>
    </row>
    <row r="43" spans="1:15" x14ac:dyDescent="0.25">
      <c r="A43" t="s">
        <v>50</v>
      </c>
      <c r="C43" s="3">
        <f>C41+C42</f>
        <v>-4983.3333333333339</v>
      </c>
      <c r="D43" s="3">
        <f t="shared" ref="D43" si="25">D41+D42</f>
        <v>24908.333333333328</v>
      </c>
      <c r="E43" s="3">
        <f t="shared" ref="E43" si="26">E41+E42</f>
        <v>67425.000000000015</v>
      </c>
      <c r="F43" s="3">
        <f t="shared" ref="F43" si="27">F41+F42</f>
        <v>202441.66666666669</v>
      </c>
      <c r="G43" s="3">
        <f t="shared" ref="G43" si="28">G41+G42</f>
        <v>337458.33333333337</v>
      </c>
      <c r="H43" s="6">
        <f t="shared" ref="H43" si="29">H41+H42</f>
        <v>472475.00000000006</v>
      </c>
      <c r="I43" s="3"/>
    </row>
  </sheetData>
  <mergeCells count="3">
    <mergeCell ref="A1:I1"/>
    <mergeCell ref="A24:B24"/>
    <mergeCell ref="A3:B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5"/>
  <sheetViews>
    <sheetView tabSelected="1" zoomScale="150" zoomScaleNormal="150" zoomScalePageLayoutView="150" workbookViewId="0">
      <selection activeCell="E34" sqref="E34"/>
    </sheetView>
  </sheetViews>
  <sheetFormatPr defaultColWidth="11" defaultRowHeight="15.75" x14ac:dyDescent="0.25"/>
  <cols>
    <col min="1" max="1" width="32.875" customWidth="1"/>
    <col min="2" max="2" width="32.625" customWidth="1"/>
    <col min="3" max="3" width="21.875" customWidth="1"/>
    <col min="4" max="4" width="15.875" customWidth="1"/>
  </cols>
  <sheetData>
    <row r="1" spans="1:6" ht="27" thickBot="1" x14ac:dyDescent="0.45">
      <c r="A1" s="39" t="s">
        <v>0</v>
      </c>
      <c r="B1" s="39"/>
      <c r="C1" s="39"/>
      <c r="D1" s="39"/>
    </row>
    <row r="3" spans="1:6" x14ac:dyDescent="0.25">
      <c r="C3" t="s">
        <v>1</v>
      </c>
      <c r="D3" t="s">
        <v>2</v>
      </c>
    </row>
    <row r="4" spans="1:6" x14ac:dyDescent="0.25">
      <c r="A4" t="s">
        <v>3</v>
      </c>
      <c r="D4" s="3"/>
    </row>
    <row r="5" spans="1:6" x14ac:dyDescent="0.25">
      <c r="A5" t="s">
        <v>4</v>
      </c>
      <c r="B5" t="s">
        <v>20</v>
      </c>
      <c r="C5" s="3">
        <f>250000*12</f>
        <v>3000000</v>
      </c>
      <c r="D5" s="3">
        <f>C5*0.93</f>
        <v>2790000</v>
      </c>
    </row>
    <row r="6" spans="1:6" x14ac:dyDescent="0.25">
      <c r="C6" s="3"/>
      <c r="D6" s="3"/>
    </row>
    <row r="7" spans="1:6" x14ac:dyDescent="0.25">
      <c r="A7" t="s">
        <v>5</v>
      </c>
      <c r="C7" s="3"/>
      <c r="D7" s="3"/>
    </row>
    <row r="8" spans="1:6" x14ac:dyDescent="0.25">
      <c r="A8" t="s">
        <v>6</v>
      </c>
      <c r="B8" t="s">
        <v>7</v>
      </c>
      <c r="C8" s="3">
        <f>C5*0.37</f>
        <v>1110000</v>
      </c>
      <c r="D8" s="3">
        <f>C8</f>
        <v>1110000</v>
      </c>
    </row>
    <row r="9" spans="1:6" x14ac:dyDescent="0.25">
      <c r="A9" t="s">
        <v>17</v>
      </c>
      <c r="B9" s="26" t="s">
        <v>115</v>
      </c>
      <c r="C9" s="3">
        <f>40000</f>
        <v>40000</v>
      </c>
      <c r="D9" s="3">
        <f>C9</f>
        <v>40000</v>
      </c>
    </row>
    <row r="10" spans="1:6" x14ac:dyDescent="0.25">
      <c r="A10" t="s">
        <v>18</v>
      </c>
      <c r="B10" t="s">
        <v>115</v>
      </c>
      <c r="C10" s="3">
        <f>10200</f>
        <v>10200</v>
      </c>
      <c r="D10" s="3">
        <f>C10</f>
        <v>10200</v>
      </c>
    </row>
    <row r="11" spans="1:6" x14ac:dyDescent="0.25">
      <c r="A11" t="s">
        <v>19</v>
      </c>
      <c r="B11" t="str">
        <f>B10</f>
        <v>given</v>
      </c>
      <c r="C11" s="4">
        <f>9600</f>
        <v>9600</v>
      </c>
      <c r="D11" s="4">
        <f>C11</f>
        <v>9600</v>
      </c>
    </row>
    <row r="12" spans="1:6" x14ac:dyDescent="0.25">
      <c r="A12" t="s">
        <v>21</v>
      </c>
      <c r="C12" s="3">
        <f>SUM(C8:C11)</f>
        <v>1169800</v>
      </c>
      <c r="D12" s="3">
        <f>SUM(D8:D11)</f>
        <v>1169800</v>
      </c>
      <c r="F12" s="19"/>
    </row>
    <row r="13" spans="1:6" x14ac:dyDescent="0.25">
      <c r="C13" s="3"/>
      <c r="D13" s="3"/>
    </row>
    <row r="14" spans="1:6" x14ac:dyDescent="0.25">
      <c r="A14" t="s">
        <v>22</v>
      </c>
      <c r="C14" s="3">
        <f>C5-C12</f>
        <v>1830200</v>
      </c>
      <c r="D14" s="3">
        <f>D5-D12</f>
        <v>1620200</v>
      </c>
    </row>
    <row r="15" spans="1:6" x14ac:dyDescent="0.25">
      <c r="C15" s="3"/>
      <c r="D15" s="3"/>
    </row>
    <row r="16" spans="1:6" x14ac:dyDescent="0.25">
      <c r="A16" t="s">
        <v>8</v>
      </c>
      <c r="C16" s="3"/>
      <c r="D16" s="3"/>
    </row>
    <row r="17" spans="1:5 16384:16384" x14ac:dyDescent="0.25">
      <c r="A17" t="s">
        <v>9</v>
      </c>
      <c r="B17" t="s">
        <v>10</v>
      </c>
      <c r="C17" s="3">
        <f>30000*9</f>
        <v>270000</v>
      </c>
      <c r="D17" s="3">
        <v>0</v>
      </c>
    </row>
    <row r="18" spans="1:5 16384:16384" x14ac:dyDescent="0.25">
      <c r="A18" t="s">
        <v>11</v>
      </c>
      <c r="B18" t="s">
        <v>12</v>
      </c>
      <c r="C18" s="3">
        <f>C8/360*30</f>
        <v>92500</v>
      </c>
      <c r="D18" s="3">
        <f>D8/360*30</f>
        <v>92500</v>
      </c>
    </row>
    <row r="19" spans="1:5 16384:16384" x14ac:dyDescent="0.25">
      <c r="A19" t="s">
        <v>14</v>
      </c>
      <c r="B19" t="s">
        <v>13</v>
      </c>
      <c r="C19" s="3">
        <f>C5/360*55.5</f>
        <v>462500.00000000006</v>
      </c>
      <c r="D19" s="3">
        <f>D5/360*55.5</f>
        <v>430125</v>
      </c>
      <c r="XFD19" s="3">
        <f>XFD5/360*55.5</f>
        <v>0</v>
      </c>
    </row>
    <row r="20" spans="1:5 16384:16384" x14ac:dyDescent="0.25">
      <c r="A20" t="s">
        <v>15</v>
      </c>
      <c r="B20" t="s">
        <v>16</v>
      </c>
      <c r="C20" s="4">
        <f>-(C8/360*60)</f>
        <v>-185000</v>
      </c>
      <c r="D20" s="4">
        <f>-(D8/360*60)</f>
        <v>-185000</v>
      </c>
    </row>
    <row r="21" spans="1:5 16384:16384" x14ac:dyDescent="0.25">
      <c r="A21" t="s">
        <v>23</v>
      </c>
      <c r="C21" s="3">
        <f>SUM(C17:C20)</f>
        <v>640000</v>
      </c>
      <c r="D21" s="3">
        <f>SUM(D17:D20)</f>
        <v>337625</v>
      </c>
    </row>
    <row r="22" spans="1:5 16384:16384" x14ac:dyDescent="0.25">
      <c r="C22" s="3"/>
      <c r="D22" s="3"/>
    </row>
    <row r="23" spans="1:5 16384:16384" x14ac:dyDescent="0.25">
      <c r="A23" t="s">
        <v>24</v>
      </c>
      <c r="C23" s="11">
        <f>C14/C21</f>
        <v>2.8596875000000002</v>
      </c>
      <c r="D23" s="11">
        <f>D14/D21</f>
        <v>4.7988152536097743</v>
      </c>
    </row>
    <row r="24" spans="1:5 16384:16384" x14ac:dyDescent="0.25">
      <c r="A24" t="s">
        <v>25</v>
      </c>
      <c r="C24" s="5">
        <f>C21/C14</f>
        <v>0.34968855862747239</v>
      </c>
      <c r="D24" s="5">
        <f>D21/D14</f>
        <v>0.20838476731267744</v>
      </c>
    </row>
    <row r="25" spans="1:5 16384:16384" x14ac:dyDescent="0.25">
      <c r="C25" s="3"/>
      <c r="D25" s="3"/>
    </row>
    <row r="26" spans="1:5 16384:16384" x14ac:dyDescent="0.25">
      <c r="A26" t="s">
        <v>136</v>
      </c>
      <c r="B26" t="s">
        <v>137</v>
      </c>
      <c r="C26" t="s">
        <v>138</v>
      </c>
      <c r="D26" s="26">
        <v>40000</v>
      </c>
    </row>
    <row r="27" spans="1:5 16384:16384" x14ac:dyDescent="0.25">
      <c r="C27" t="s">
        <v>18</v>
      </c>
      <c r="D27" s="31">
        <f>850*12</f>
        <v>10200</v>
      </c>
    </row>
    <row r="28" spans="1:5 16384:16384" x14ac:dyDescent="0.25">
      <c r="B28" t="s">
        <v>144</v>
      </c>
      <c r="D28" s="26">
        <f>D26+D27</f>
        <v>50200</v>
      </c>
    </row>
    <row r="29" spans="1:5 16384:16384" x14ac:dyDescent="0.25">
      <c r="D29" s="26"/>
    </row>
    <row r="30" spans="1:5 16384:16384" x14ac:dyDescent="0.25">
      <c r="B30" t="s">
        <v>145</v>
      </c>
      <c r="C30" t="s">
        <v>141</v>
      </c>
      <c r="D30" s="15">
        <v>0.25</v>
      </c>
      <c r="E30" t="s">
        <v>139</v>
      </c>
    </row>
    <row r="31" spans="1:5 16384:16384" x14ac:dyDescent="0.25">
      <c r="C31" t="s">
        <v>6</v>
      </c>
      <c r="D31" s="32">
        <v>0.56899999999999995</v>
      </c>
      <c r="E31" t="s">
        <v>142</v>
      </c>
    </row>
    <row r="32" spans="1:5 16384:16384" x14ac:dyDescent="0.25">
      <c r="B32" t="s">
        <v>149</v>
      </c>
      <c r="D32" s="33">
        <f>D30+D31</f>
        <v>0.81899999999999995</v>
      </c>
    </row>
    <row r="33" spans="2:4" x14ac:dyDescent="0.25">
      <c r="D33" s="33"/>
    </row>
    <row r="34" spans="2:4" x14ac:dyDescent="0.25">
      <c r="B34" t="s">
        <v>147</v>
      </c>
      <c r="C34" t="s">
        <v>4</v>
      </c>
      <c r="D34" s="30">
        <v>1</v>
      </c>
    </row>
    <row r="35" spans="2:4" x14ac:dyDescent="0.25">
      <c r="B35" s="34" t="s">
        <v>150</v>
      </c>
      <c r="C35" t="s">
        <v>140</v>
      </c>
      <c r="D35" s="32">
        <f>D32</f>
        <v>0.81899999999999995</v>
      </c>
    </row>
    <row r="36" spans="2:4" x14ac:dyDescent="0.25">
      <c r="B36" s="34"/>
      <c r="D36" s="35">
        <f>D34-D35</f>
        <v>0.18100000000000005</v>
      </c>
    </row>
    <row r="38" spans="2:4" x14ac:dyDescent="0.25">
      <c r="B38" t="s">
        <v>143</v>
      </c>
      <c r="C38" t="s">
        <v>146</v>
      </c>
    </row>
    <row r="39" spans="2:4" x14ac:dyDescent="0.25">
      <c r="C39" t="s">
        <v>148</v>
      </c>
      <c r="D39" s="36">
        <f>D28/D36</f>
        <v>277348.06629834248</v>
      </c>
    </row>
    <row r="40" spans="2:4" x14ac:dyDescent="0.25">
      <c r="D40" s="2"/>
    </row>
    <row r="41" spans="2:4" x14ac:dyDescent="0.25">
      <c r="D41" s="2"/>
    </row>
    <row r="43" spans="2:4" x14ac:dyDescent="0.25">
      <c r="C43" s="3"/>
      <c r="D43" s="3"/>
    </row>
    <row r="44" spans="2:4" x14ac:dyDescent="0.25">
      <c r="C44" s="3"/>
      <c r="D44" s="3"/>
    </row>
    <row r="45" spans="2:4" x14ac:dyDescent="0.25">
      <c r="C45" s="3"/>
      <c r="D45" s="3"/>
    </row>
    <row r="46" spans="2:4" x14ac:dyDescent="0.25">
      <c r="C46" s="3"/>
      <c r="D46" s="3"/>
    </row>
    <row r="47" spans="2:4" x14ac:dyDescent="0.25">
      <c r="C47" s="3"/>
      <c r="D47" s="3"/>
    </row>
    <row r="48" spans="2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</sheetData>
  <mergeCells count="1">
    <mergeCell ref="A1:D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B22" sqref="B22"/>
    </sheetView>
  </sheetViews>
  <sheetFormatPr defaultColWidth="11" defaultRowHeight="15.75" x14ac:dyDescent="0.25"/>
  <cols>
    <col min="1" max="1" width="32.875" customWidth="1"/>
    <col min="2" max="2" width="36.375" customWidth="1"/>
    <col min="3" max="3" width="18" customWidth="1"/>
    <col min="4" max="4" width="15.875" customWidth="1"/>
    <col min="5" max="5" width="16.375" customWidth="1"/>
    <col min="6" max="6" width="33" customWidth="1"/>
    <col min="7" max="7" width="17.375" customWidth="1"/>
  </cols>
  <sheetData>
    <row r="1" spans="1:5" ht="27" thickBot="1" x14ac:dyDescent="0.45">
      <c r="A1" s="39" t="s">
        <v>0</v>
      </c>
      <c r="B1" s="39"/>
      <c r="C1" s="39"/>
      <c r="D1" s="39"/>
      <c r="E1" s="39"/>
    </row>
    <row r="3" spans="1:5" x14ac:dyDescent="0.25">
      <c r="C3" s="8">
        <v>2007</v>
      </c>
      <c r="D3" s="1" t="s">
        <v>1</v>
      </c>
      <c r="E3" s="1" t="s">
        <v>2</v>
      </c>
    </row>
    <row r="4" spans="1:5" x14ac:dyDescent="0.25">
      <c r="A4" t="s">
        <v>55</v>
      </c>
    </row>
    <row r="5" spans="1:5" x14ac:dyDescent="0.25">
      <c r="A5" s="12" t="s">
        <v>134</v>
      </c>
      <c r="B5" t="s">
        <v>61</v>
      </c>
      <c r="C5" s="9">
        <v>859679</v>
      </c>
      <c r="D5" s="3">
        <f>C5*1.35/12</f>
        <v>96713.887500000012</v>
      </c>
      <c r="E5" s="3">
        <f>D5</f>
        <v>96713.887500000012</v>
      </c>
    </row>
    <row r="6" spans="1:5" x14ac:dyDescent="0.25">
      <c r="A6" s="12" t="s">
        <v>60</v>
      </c>
      <c r="C6" s="10"/>
      <c r="D6" s="4">
        <f>Differential!C5/12</f>
        <v>250000</v>
      </c>
      <c r="E6" s="4">
        <f>Differential!D5/12</f>
        <v>232500</v>
      </c>
    </row>
    <row r="7" spans="1:5" x14ac:dyDescent="0.25">
      <c r="A7" t="s">
        <v>56</v>
      </c>
      <c r="C7" s="9">
        <f>SUM(C5:C6)</f>
        <v>859679</v>
      </c>
      <c r="D7" s="14">
        <f>SUM(D5:D6)</f>
        <v>346713.88750000001</v>
      </c>
      <c r="E7" s="14">
        <f>SUM(E5:E6)</f>
        <v>329213.88750000001</v>
      </c>
    </row>
    <row r="8" spans="1:5" x14ac:dyDescent="0.25">
      <c r="C8" s="9"/>
      <c r="D8" s="3"/>
      <c r="E8" s="3"/>
    </row>
    <row r="9" spans="1:5" x14ac:dyDescent="0.25">
      <c r="A9" t="s">
        <v>135</v>
      </c>
      <c r="B9" s="15" t="s">
        <v>132</v>
      </c>
      <c r="C9" s="9">
        <f>C7*0.57</f>
        <v>490017.02999999997</v>
      </c>
      <c r="D9" s="3">
        <f>D5*0.57</f>
        <v>55126.915874999999</v>
      </c>
      <c r="E9" s="3">
        <f>E5*0.57</f>
        <v>55126.915874999999</v>
      </c>
    </row>
    <row r="10" spans="1:5" x14ac:dyDescent="0.25">
      <c r="A10" t="s">
        <v>62</v>
      </c>
      <c r="B10" s="15" t="s">
        <v>133</v>
      </c>
      <c r="C10" s="10">
        <v>0</v>
      </c>
      <c r="D10" s="4">
        <f>Differential!C8/12</f>
        <v>92500</v>
      </c>
      <c r="E10" s="4">
        <f>Differential!D8/12</f>
        <v>92500</v>
      </c>
    </row>
    <row r="11" spans="1:5" x14ac:dyDescent="0.25">
      <c r="C11" s="9"/>
      <c r="D11" s="3"/>
      <c r="E11" s="3"/>
    </row>
    <row r="12" spans="1:5" x14ac:dyDescent="0.25">
      <c r="A12" t="s">
        <v>57</v>
      </c>
      <c r="C12" s="9">
        <f>C7-C9</f>
        <v>369661.97000000003</v>
      </c>
      <c r="D12" s="3">
        <f>D7-D9-D10</f>
        <v>199086.97162500001</v>
      </c>
      <c r="E12" s="3">
        <f>E7-E9-E10</f>
        <v>181586.97162500001</v>
      </c>
    </row>
    <row r="13" spans="1:5" x14ac:dyDescent="0.25">
      <c r="C13" s="9"/>
      <c r="D13" s="3"/>
      <c r="E13" s="3"/>
    </row>
    <row r="14" spans="1:5" x14ac:dyDescent="0.25">
      <c r="A14" t="s">
        <v>59</v>
      </c>
      <c r="B14" t="s">
        <v>116</v>
      </c>
      <c r="C14" s="9">
        <f>C7*0.38</f>
        <v>326678.02</v>
      </c>
      <c r="D14" s="3">
        <f>D5*0.382</f>
        <v>36944.705025000003</v>
      </c>
      <c r="E14" s="3">
        <f>E5*0.382</f>
        <v>36944.705025000003</v>
      </c>
    </row>
    <row r="15" spans="1:5" x14ac:dyDescent="0.25">
      <c r="A15" t="s">
        <v>117</v>
      </c>
      <c r="D15" s="3">
        <f>(Differential!C9+Differential!C10+Differential!C11)/12</f>
        <v>4983.333333333333</v>
      </c>
      <c r="E15" s="3">
        <f>SUM(Differential!D9:D11)</f>
        <v>59800</v>
      </c>
    </row>
    <row r="16" spans="1:5" x14ac:dyDescent="0.25">
      <c r="A16" t="s">
        <v>58</v>
      </c>
      <c r="B16" t="s">
        <v>118</v>
      </c>
      <c r="C16" s="13"/>
      <c r="D16" s="4">
        <f>270000/10/12</f>
        <v>2250</v>
      </c>
      <c r="E16" s="4">
        <f>270000/10/12</f>
        <v>2250</v>
      </c>
    </row>
    <row r="17" spans="1:6" x14ac:dyDescent="0.25">
      <c r="C17" s="9"/>
      <c r="D17" s="3"/>
      <c r="E17" s="3"/>
      <c r="F17" t="s">
        <v>120</v>
      </c>
    </row>
    <row r="18" spans="1:6" x14ac:dyDescent="0.25">
      <c r="A18" t="s">
        <v>119</v>
      </c>
      <c r="C18" s="27">
        <f>C12-C14</f>
        <v>42983.950000000012</v>
      </c>
      <c r="D18" s="6">
        <f>D12-D14-D15-D16</f>
        <v>154908.93326666666</v>
      </c>
      <c r="E18" s="6">
        <f>E12-E14-E15-E16</f>
        <v>82592.266600000003</v>
      </c>
      <c r="F18" t="s">
        <v>121</v>
      </c>
    </row>
    <row r="19" spans="1:6" x14ac:dyDescent="0.25">
      <c r="C19" s="9"/>
      <c r="D19" s="3"/>
      <c r="E19" s="3"/>
      <c r="F19" t="s">
        <v>122</v>
      </c>
    </row>
    <row r="20" spans="1:6" x14ac:dyDescent="0.25">
      <c r="C20" s="9"/>
      <c r="D20" s="3"/>
      <c r="E20" s="3"/>
    </row>
    <row r="21" spans="1:6" x14ac:dyDescent="0.25">
      <c r="C21" s="9"/>
      <c r="D21" s="3"/>
      <c r="E21" s="3"/>
    </row>
    <row r="22" spans="1:6" x14ac:dyDescent="0.25">
      <c r="C22" s="9"/>
      <c r="D22" s="3"/>
      <c r="E22" s="3"/>
    </row>
    <row r="23" spans="1:6" x14ac:dyDescent="0.25">
      <c r="C23" s="9"/>
      <c r="D23" s="3"/>
      <c r="E23" s="3"/>
    </row>
    <row r="24" spans="1:6" x14ac:dyDescent="0.25">
      <c r="C24" s="9"/>
      <c r="D24" s="3"/>
      <c r="E24" s="3"/>
    </row>
    <row r="25" spans="1:6" x14ac:dyDescent="0.25">
      <c r="C25" s="9"/>
      <c r="D25" s="3"/>
      <c r="E25" s="3"/>
    </row>
    <row r="26" spans="1:6" x14ac:dyDescent="0.25">
      <c r="C26" s="9"/>
      <c r="D26" s="3"/>
      <c r="E26" s="3"/>
    </row>
    <row r="27" spans="1:6" x14ac:dyDescent="0.25">
      <c r="C27" s="9"/>
      <c r="D27" s="3"/>
      <c r="E27" s="3"/>
    </row>
    <row r="28" spans="1:6" x14ac:dyDescent="0.25">
      <c r="C28" s="9"/>
      <c r="D28" s="3"/>
      <c r="E28" s="3"/>
    </row>
    <row r="29" spans="1:6" x14ac:dyDescent="0.25">
      <c r="C29" s="9"/>
      <c r="D29" s="3"/>
      <c r="E29" s="3"/>
    </row>
    <row r="30" spans="1:6" x14ac:dyDescent="0.25">
      <c r="C30" s="9"/>
      <c r="D30" s="3"/>
      <c r="E30" s="3"/>
    </row>
    <row r="31" spans="1:6" x14ac:dyDescent="0.25">
      <c r="C31" s="9"/>
      <c r="D31" s="3"/>
      <c r="E31" s="3"/>
    </row>
    <row r="32" spans="1:6" x14ac:dyDescent="0.25">
      <c r="C32" s="9"/>
      <c r="D32" s="3"/>
      <c r="E32" s="3"/>
    </row>
    <row r="33" spans="3:5" x14ac:dyDescent="0.25">
      <c r="C33" s="9"/>
      <c r="D33" s="3"/>
      <c r="E33" s="3"/>
    </row>
    <row r="34" spans="3:5" x14ac:dyDescent="0.25">
      <c r="C34" s="9"/>
      <c r="D34" s="3"/>
      <c r="E34" s="3"/>
    </row>
    <row r="35" spans="3:5" x14ac:dyDescent="0.25">
      <c r="C35" s="9"/>
      <c r="D35" s="3"/>
      <c r="E35" s="3"/>
    </row>
  </sheetData>
  <mergeCells count="1">
    <mergeCell ref="A1:E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1"/>
  <sheetViews>
    <sheetView zoomScale="150" zoomScaleNormal="150" zoomScalePageLayoutView="150" workbookViewId="0">
      <selection activeCell="B39" sqref="B39"/>
    </sheetView>
  </sheetViews>
  <sheetFormatPr defaultColWidth="11" defaultRowHeight="15.75" x14ac:dyDescent="0.25"/>
  <cols>
    <col min="1" max="1" width="40.625" customWidth="1"/>
    <col min="2" max="2" width="32.5" customWidth="1"/>
    <col min="3" max="3" width="12.125" bestFit="1" customWidth="1"/>
    <col min="4" max="4" width="11.625" bestFit="1" customWidth="1"/>
    <col min="5" max="5" width="11.5" bestFit="1" customWidth="1"/>
  </cols>
  <sheetData>
    <row r="1" spans="1:7" ht="27" thickBot="1" x14ac:dyDescent="0.45">
      <c r="A1" s="37" t="s">
        <v>0</v>
      </c>
      <c r="B1" s="37"/>
      <c r="C1" s="37"/>
      <c r="D1" s="37"/>
      <c r="E1" s="37"/>
    </row>
    <row r="3" spans="1:7" x14ac:dyDescent="0.25">
      <c r="B3" s="8" t="s">
        <v>64</v>
      </c>
      <c r="C3" s="8">
        <v>2007</v>
      </c>
      <c r="D3" s="24" t="s">
        <v>112</v>
      </c>
      <c r="E3" s="24" t="s">
        <v>113</v>
      </c>
    </row>
    <row r="4" spans="1:7" x14ac:dyDescent="0.25">
      <c r="A4" t="s">
        <v>65</v>
      </c>
    </row>
    <row r="5" spans="1:7" x14ac:dyDescent="0.25">
      <c r="A5" t="s">
        <v>66</v>
      </c>
    </row>
    <row r="6" spans="1:7" x14ac:dyDescent="0.25">
      <c r="A6" t="s">
        <v>67</v>
      </c>
      <c r="B6" t="s">
        <v>128</v>
      </c>
      <c r="C6" s="3">
        <f>C10-C9-C8-C7</f>
        <v>0</v>
      </c>
      <c r="D6" s="3">
        <v>0</v>
      </c>
      <c r="E6" s="3">
        <v>0</v>
      </c>
    </row>
    <row r="7" spans="1:7" x14ac:dyDescent="0.25">
      <c r="A7" t="s">
        <v>68</v>
      </c>
      <c r="B7" t="s">
        <v>123</v>
      </c>
      <c r="C7" s="3">
        <v>132613</v>
      </c>
      <c r="D7" s="3">
        <f>C7+(Differential!C19*(30/55.5))</f>
        <v>382613.00000000006</v>
      </c>
      <c r="E7" s="3">
        <f>C7+(Differential!D19*30/55.5)</f>
        <v>365113</v>
      </c>
      <c r="G7" s="23"/>
    </row>
    <row r="8" spans="1:7" x14ac:dyDescent="0.25">
      <c r="A8" t="s">
        <v>69</v>
      </c>
      <c r="B8" t="s">
        <v>63</v>
      </c>
      <c r="C8" s="3">
        <v>4388</v>
      </c>
      <c r="D8" s="3">
        <f>C8</f>
        <v>4388</v>
      </c>
      <c r="E8" s="28">
        <f>C8</f>
        <v>4388</v>
      </c>
      <c r="G8" s="23"/>
    </row>
    <row r="9" spans="1:7" x14ac:dyDescent="0.25">
      <c r="A9" t="s">
        <v>11</v>
      </c>
      <c r="B9" t="s">
        <v>124</v>
      </c>
      <c r="C9" s="4">
        <v>19908</v>
      </c>
      <c r="D9" s="4">
        <f>C9+Differential!C18</f>
        <v>112408</v>
      </c>
      <c r="E9" s="4">
        <f>C9+Differential!D18</f>
        <v>112408</v>
      </c>
      <c r="G9" s="23"/>
    </row>
    <row r="10" spans="1:7" x14ac:dyDescent="0.25">
      <c r="A10" t="s">
        <v>70</v>
      </c>
      <c r="C10" s="3">
        <f>C18-C16</f>
        <v>156909</v>
      </c>
      <c r="D10" s="9">
        <f>SUM(D6:D9)</f>
        <v>499409.00000000006</v>
      </c>
      <c r="E10" s="9">
        <f>SUM(E6:E9)</f>
        <v>481909</v>
      </c>
      <c r="G10" s="23"/>
    </row>
    <row r="11" spans="1:7" x14ac:dyDescent="0.25">
      <c r="C11" s="3"/>
      <c r="D11" s="3"/>
      <c r="E11" s="3"/>
    </row>
    <row r="12" spans="1:7" x14ac:dyDescent="0.25">
      <c r="A12" t="s">
        <v>71</v>
      </c>
      <c r="C12" s="3"/>
      <c r="D12" s="3"/>
      <c r="E12" s="3"/>
    </row>
    <row r="13" spans="1:7" x14ac:dyDescent="0.25">
      <c r="A13" t="s">
        <v>72</v>
      </c>
      <c r="B13" t="s">
        <v>125</v>
      </c>
      <c r="C13" s="3">
        <v>92948</v>
      </c>
      <c r="D13" s="3">
        <f>C13-(10990*1/12)</f>
        <v>92032.166666666672</v>
      </c>
      <c r="E13" s="3">
        <f>C13-(10990*1/12)</f>
        <v>92032.166666666672</v>
      </c>
    </row>
    <row r="14" spans="1:7" x14ac:dyDescent="0.25">
      <c r="A14" t="s">
        <v>73</v>
      </c>
      <c r="B14" t="s">
        <v>126</v>
      </c>
      <c r="C14" s="3"/>
      <c r="D14" s="3">
        <f>Differential!C17</f>
        <v>270000</v>
      </c>
      <c r="E14" s="3">
        <v>0</v>
      </c>
    </row>
    <row r="15" spans="1:7" x14ac:dyDescent="0.25">
      <c r="A15" t="s">
        <v>74</v>
      </c>
      <c r="B15" t="s">
        <v>127</v>
      </c>
      <c r="C15" s="4"/>
      <c r="D15" s="4">
        <f>-D14/10*(1/12)</f>
        <v>-2250</v>
      </c>
      <c r="E15" s="4">
        <v>0</v>
      </c>
    </row>
    <row r="16" spans="1:7" x14ac:dyDescent="0.25">
      <c r="A16" t="s">
        <v>75</v>
      </c>
      <c r="C16" s="3">
        <f>C13</f>
        <v>92948</v>
      </c>
      <c r="D16" s="3">
        <f>D13+D14+D15</f>
        <v>359782.16666666669</v>
      </c>
      <c r="E16" s="3">
        <f>E13+E14+E15</f>
        <v>92032.166666666672</v>
      </c>
    </row>
    <row r="17" spans="1:6" x14ac:dyDescent="0.25">
      <c r="C17" s="3"/>
      <c r="D17" s="3"/>
      <c r="E17" s="3"/>
    </row>
    <row r="18" spans="1:6" x14ac:dyDescent="0.25">
      <c r="A18" t="s">
        <v>76</v>
      </c>
      <c r="C18" s="3">
        <f>C41</f>
        <v>249857</v>
      </c>
      <c r="D18" s="3">
        <f>D10+D16</f>
        <v>859191.16666666674</v>
      </c>
      <c r="E18" s="3">
        <f>E10+E16</f>
        <v>573941.16666666663</v>
      </c>
    </row>
    <row r="19" spans="1:6" x14ac:dyDescent="0.25">
      <c r="C19" s="3"/>
      <c r="D19" s="3"/>
      <c r="E19" s="3"/>
    </row>
    <row r="20" spans="1:6" x14ac:dyDescent="0.25">
      <c r="A20" t="s">
        <v>77</v>
      </c>
      <c r="C20" s="3"/>
      <c r="D20" s="3"/>
      <c r="E20" s="3"/>
    </row>
    <row r="21" spans="1:6" x14ac:dyDescent="0.25">
      <c r="A21" t="s">
        <v>78</v>
      </c>
      <c r="C21" s="3"/>
      <c r="D21" s="3"/>
      <c r="E21" s="3"/>
    </row>
    <row r="22" spans="1:6" x14ac:dyDescent="0.25">
      <c r="A22" t="s">
        <v>79</v>
      </c>
      <c r="B22" t="s">
        <v>128</v>
      </c>
      <c r="C22" s="3">
        <v>34327</v>
      </c>
      <c r="D22" s="3">
        <f>C22</f>
        <v>34327</v>
      </c>
      <c r="E22" s="3">
        <f>D22</f>
        <v>34327</v>
      </c>
    </row>
    <row r="23" spans="1:6" x14ac:dyDescent="0.25">
      <c r="A23" t="s">
        <v>80</v>
      </c>
      <c r="B23" t="s">
        <v>129</v>
      </c>
      <c r="C23" s="3">
        <v>113250</v>
      </c>
      <c r="D23" s="3">
        <f>$C$23+(-Differential!C20*30/60)</f>
        <v>205750</v>
      </c>
      <c r="E23" s="3">
        <f>$C$23+(-Differential!D20*30/60)</f>
        <v>205750</v>
      </c>
    </row>
    <row r="24" spans="1:6" x14ac:dyDescent="0.25">
      <c r="A24" t="s">
        <v>81</v>
      </c>
      <c r="B24" t="s">
        <v>128</v>
      </c>
      <c r="C24" s="25">
        <v>5575</v>
      </c>
      <c r="D24" s="3">
        <f>C24</f>
        <v>5575</v>
      </c>
      <c r="E24" s="3">
        <f>D24</f>
        <v>5575</v>
      </c>
    </row>
    <row r="25" spans="1:6" x14ac:dyDescent="0.25">
      <c r="A25" t="s">
        <v>82</v>
      </c>
      <c r="B25" t="s">
        <v>114</v>
      </c>
      <c r="C25" s="4"/>
      <c r="D25" s="29">
        <f>D26-(SUM(D22:D24))</f>
        <v>361925.23340000003</v>
      </c>
      <c r="E25" s="29">
        <f>E26-SUM(E22:E24)</f>
        <v>148991.90006666665</v>
      </c>
      <c r="F25" t="s">
        <v>130</v>
      </c>
    </row>
    <row r="26" spans="1:6" x14ac:dyDescent="0.25">
      <c r="A26" t="s">
        <v>83</v>
      </c>
      <c r="C26" s="3">
        <f>SUM(C22:C24)</f>
        <v>153152</v>
      </c>
      <c r="D26" s="3">
        <f>D34-D32</f>
        <v>607577.23340000003</v>
      </c>
      <c r="E26" s="3">
        <f>E34-E32</f>
        <v>394643.90006666665</v>
      </c>
    </row>
    <row r="27" spans="1:6" x14ac:dyDescent="0.25">
      <c r="C27" s="3"/>
      <c r="D27" s="3"/>
      <c r="E27" s="3"/>
    </row>
    <row r="28" spans="1:6" x14ac:dyDescent="0.25">
      <c r="A28" t="s">
        <v>84</v>
      </c>
      <c r="C28" s="3"/>
      <c r="D28" s="3"/>
      <c r="E28" s="3"/>
    </row>
    <row r="29" spans="1:6" x14ac:dyDescent="0.25">
      <c r="A29" t="s">
        <v>85</v>
      </c>
      <c r="B29" t="s">
        <v>128</v>
      </c>
      <c r="C29" s="3">
        <v>88000</v>
      </c>
      <c r="D29" s="3">
        <f>C29</f>
        <v>88000</v>
      </c>
      <c r="E29" s="3">
        <f>C29</f>
        <v>88000</v>
      </c>
    </row>
    <row r="30" spans="1:6" x14ac:dyDescent="0.25">
      <c r="A30" t="s">
        <v>86</v>
      </c>
      <c r="B30" t="s">
        <v>128</v>
      </c>
      <c r="C30" s="3">
        <v>45000</v>
      </c>
      <c r="D30" s="3">
        <f>C30</f>
        <v>45000</v>
      </c>
      <c r="E30" s="3">
        <f>D30</f>
        <v>45000</v>
      </c>
    </row>
    <row r="31" spans="1:6" x14ac:dyDescent="0.25">
      <c r="A31" t="s">
        <v>87</v>
      </c>
      <c r="B31" t="s">
        <v>128</v>
      </c>
      <c r="C31" s="4">
        <v>42240</v>
      </c>
      <c r="D31" s="4">
        <f>C31</f>
        <v>42240</v>
      </c>
      <c r="E31" s="4">
        <f>D31</f>
        <v>42240</v>
      </c>
    </row>
    <row r="32" spans="1:6" x14ac:dyDescent="0.25">
      <c r="A32" t="s">
        <v>88</v>
      </c>
      <c r="C32" s="17">
        <f>SUM(C29:C31)</f>
        <v>175240</v>
      </c>
      <c r="D32" s="17">
        <f>SUM(D29:D31)</f>
        <v>175240</v>
      </c>
      <c r="E32" s="17">
        <f>SUM(E29:E31)</f>
        <v>175240</v>
      </c>
    </row>
    <row r="33" spans="1:5 16384:16384" x14ac:dyDescent="0.25">
      <c r="C33" s="3"/>
      <c r="D33" s="3"/>
      <c r="E33" s="3"/>
    </row>
    <row r="34" spans="1:5 16384:16384" x14ac:dyDescent="0.25">
      <c r="A34" t="s">
        <v>89</v>
      </c>
      <c r="C34" s="3">
        <f>C26+C32</f>
        <v>328392</v>
      </c>
      <c r="D34" s="3">
        <f>D41-D39</f>
        <v>782817.23340000003</v>
      </c>
      <c r="E34" s="3">
        <f>E41-E39</f>
        <v>569883.90006666665</v>
      </c>
    </row>
    <row r="35" spans="1:5 16384:16384" x14ac:dyDescent="0.25">
      <c r="C35" s="3"/>
      <c r="D35" s="3"/>
      <c r="E35" s="3"/>
    </row>
    <row r="36" spans="1:5 16384:16384" x14ac:dyDescent="0.25">
      <c r="A36" t="s">
        <v>90</v>
      </c>
      <c r="C36" s="3"/>
      <c r="D36" s="3"/>
      <c r="E36" s="3"/>
    </row>
    <row r="37" spans="1:5 16384:16384" x14ac:dyDescent="0.25">
      <c r="A37" t="s">
        <v>91</v>
      </c>
      <c r="B37" t="s">
        <v>128</v>
      </c>
      <c r="C37" s="3">
        <v>120000</v>
      </c>
      <c r="D37" s="3">
        <f>C37</f>
        <v>120000</v>
      </c>
      <c r="E37" s="3">
        <f>D37</f>
        <v>120000</v>
      </c>
    </row>
    <row r="38" spans="1:5 16384:16384" x14ac:dyDescent="0.25">
      <c r="A38" t="s">
        <v>92</v>
      </c>
      <c r="B38" t="s">
        <v>131</v>
      </c>
      <c r="C38" s="4">
        <v>-198535</v>
      </c>
      <c r="D38" s="4">
        <f>C38+'Proj. Income Statement'!D18</f>
        <v>-43626.06673333334</v>
      </c>
      <c r="E38" s="4">
        <f>C38+'Proj. Income Statement'!E18</f>
        <v>-115942.7334</v>
      </c>
    </row>
    <row r="39" spans="1:5 16384:16384" x14ac:dyDescent="0.25">
      <c r="A39" t="s">
        <v>93</v>
      </c>
      <c r="C39" s="3">
        <f>C37+C38</f>
        <v>-78535</v>
      </c>
      <c r="D39" s="3">
        <f>D37+D38</f>
        <v>76373.93326666666</v>
      </c>
      <c r="E39" s="3">
        <f>E37+E38</f>
        <v>4057.2666000000027</v>
      </c>
      <c r="XFD39" s="3"/>
    </row>
    <row r="40" spans="1:5 16384:16384" x14ac:dyDescent="0.25">
      <c r="C40" s="3"/>
      <c r="D40" s="3"/>
      <c r="E40" s="3"/>
    </row>
    <row r="41" spans="1:5 16384:16384" x14ac:dyDescent="0.25">
      <c r="A41" t="s">
        <v>94</v>
      </c>
      <c r="C41" s="3">
        <f>C34+C39</f>
        <v>249857</v>
      </c>
      <c r="D41" s="3">
        <f>D18</f>
        <v>859191.16666666674</v>
      </c>
      <c r="E41" s="3">
        <f>E18</f>
        <v>573941.16666666663</v>
      </c>
    </row>
  </sheetData>
  <mergeCells count="1">
    <mergeCell ref="A1:E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Given Balance Sheet</vt:lpstr>
      <vt:lpstr>Cash Flows</vt:lpstr>
      <vt:lpstr>Cash Budget</vt:lpstr>
      <vt:lpstr>Differential</vt:lpstr>
      <vt:lpstr>Proj. Income Statement</vt:lpstr>
      <vt:lpstr>Proj. Balance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Paige Bond</dc:creator>
  <cp:lastModifiedBy>Mohammed Abdo</cp:lastModifiedBy>
  <dcterms:created xsi:type="dcterms:W3CDTF">2013-06-19T15:41:24Z</dcterms:created>
  <dcterms:modified xsi:type="dcterms:W3CDTF">2014-05-08T16:49:18Z</dcterms:modified>
</cp:coreProperties>
</file>
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jacquelineyan/Desktop/"/>
    </mc:Choice>
  </mc:AlternateContent>
  <bookViews>
    <workbookView xWindow="160" yWindow="460" windowWidth="14340" windowHeight="17460" tabRatio="500"/>
  </bookViews>
  <sheets>
    <sheet name="1" sheetId="1" r:id="rId1"/>
    <sheet name="2" sheetId="2" r:id="rId2"/>
    <sheet name="3" sheetId="3" r:id="rId3"/>
    <sheet name="4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6" i="1"/>
  <c r="I5" i="1"/>
  <c r="I4" i="1"/>
  <c r="I3" i="1"/>
  <c r="I7" i="1"/>
  <c r="D20" i="1"/>
  <c r="D20" i="4"/>
  <c r="H7" i="4"/>
  <c r="H15" i="4"/>
  <c r="D18" i="4"/>
  <c r="H18" i="4"/>
  <c r="G7" i="4"/>
  <c r="G18" i="4"/>
  <c r="F7" i="4"/>
  <c r="F18" i="4"/>
  <c r="E7" i="4"/>
  <c r="E15" i="4"/>
  <c r="E18" i="4"/>
  <c r="D7" i="4"/>
  <c r="D15" i="4"/>
  <c r="C7" i="4"/>
  <c r="C15" i="4"/>
  <c r="C23" i="4"/>
  <c r="C25" i="4"/>
  <c r="B3" i="4"/>
  <c r="B7" i="4"/>
  <c r="B15" i="4"/>
  <c r="B23" i="4"/>
  <c r="B25" i="4"/>
  <c r="B27" i="4"/>
  <c r="C26" i="4"/>
  <c r="C27" i="4"/>
  <c r="D22" i="4"/>
  <c r="D23" i="4"/>
  <c r="D25" i="4"/>
  <c r="D26" i="4"/>
  <c r="D27" i="4"/>
  <c r="E22" i="4"/>
  <c r="E23" i="4"/>
  <c r="E25" i="4"/>
  <c r="E26" i="4"/>
  <c r="E27" i="4"/>
  <c r="F22" i="4"/>
  <c r="F23" i="4"/>
  <c r="F25" i="4"/>
  <c r="F26" i="4"/>
  <c r="F27" i="4"/>
  <c r="G22" i="4"/>
  <c r="G23" i="4"/>
  <c r="G25" i="4"/>
  <c r="G26" i="4"/>
  <c r="G27" i="4"/>
  <c r="H22" i="4"/>
  <c r="H23" i="4"/>
  <c r="H25" i="4"/>
  <c r="H26" i="4"/>
  <c r="H27" i="4"/>
  <c r="D20" i="3"/>
  <c r="D20" i="2"/>
  <c r="H7" i="3"/>
  <c r="H15" i="3"/>
  <c r="D18" i="3"/>
  <c r="H18" i="3"/>
  <c r="G7" i="3"/>
  <c r="G18" i="3"/>
  <c r="F7" i="3"/>
  <c r="F18" i="3"/>
  <c r="E7" i="3"/>
  <c r="E15" i="3"/>
  <c r="E18" i="3"/>
  <c r="D7" i="3"/>
  <c r="D15" i="3"/>
  <c r="C7" i="3"/>
  <c r="C15" i="3"/>
  <c r="C23" i="3"/>
  <c r="C25" i="3"/>
  <c r="B3" i="3"/>
  <c r="B7" i="3"/>
  <c r="B15" i="3"/>
  <c r="B23" i="3"/>
  <c r="B25" i="3"/>
  <c r="B27" i="3"/>
  <c r="C26" i="3"/>
  <c r="C27" i="3"/>
  <c r="D22" i="3"/>
  <c r="D23" i="3"/>
  <c r="D25" i="3"/>
  <c r="D26" i="3"/>
  <c r="D27" i="3"/>
  <c r="E22" i="3"/>
  <c r="E23" i="3"/>
  <c r="E25" i="3"/>
  <c r="E26" i="3"/>
  <c r="E27" i="3"/>
  <c r="F22" i="3"/>
  <c r="F23" i="3"/>
  <c r="F25" i="3"/>
  <c r="F26" i="3"/>
  <c r="F27" i="3"/>
  <c r="G22" i="3"/>
  <c r="G23" i="3"/>
  <c r="G25" i="3"/>
  <c r="G26" i="3"/>
  <c r="G27" i="3"/>
  <c r="H22" i="3"/>
  <c r="H23" i="3"/>
  <c r="H25" i="3"/>
  <c r="H26" i="3"/>
  <c r="H27" i="3"/>
  <c r="H15" i="2"/>
  <c r="E15" i="2"/>
  <c r="D15" i="2"/>
  <c r="C15" i="2"/>
  <c r="B15" i="2"/>
  <c r="B23" i="2"/>
  <c r="B25" i="2"/>
  <c r="B27" i="2"/>
  <c r="C26" i="2"/>
  <c r="C23" i="2"/>
  <c r="C25" i="2"/>
  <c r="C27" i="2"/>
  <c r="D22" i="2"/>
  <c r="D23" i="2"/>
  <c r="D25" i="2"/>
  <c r="D26" i="2"/>
  <c r="D27" i="2"/>
  <c r="E22" i="2"/>
  <c r="E23" i="2"/>
  <c r="E25" i="2"/>
  <c r="E26" i="2"/>
  <c r="E27" i="2"/>
  <c r="F22" i="2"/>
  <c r="F23" i="2"/>
  <c r="F25" i="2"/>
  <c r="F26" i="2"/>
  <c r="F27" i="2"/>
  <c r="G22" i="2"/>
  <c r="G23" i="2"/>
  <c r="G25" i="2"/>
  <c r="G26" i="2"/>
  <c r="G27" i="2"/>
  <c r="H22" i="2"/>
  <c r="D23" i="1"/>
  <c r="D25" i="1"/>
  <c r="D27" i="1"/>
  <c r="E22" i="1"/>
  <c r="E23" i="1"/>
  <c r="E25" i="1"/>
  <c r="E26" i="1"/>
  <c r="E27" i="1"/>
  <c r="F22" i="1"/>
  <c r="F23" i="1"/>
  <c r="F25" i="1"/>
  <c r="F26" i="1"/>
  <c r="F27" i="1"/>
  <c r="G22" i="1"/>
  <c r="G23" i="1"/>
  <c r="G25" i="1"/>
  <c r="G26" i="1"/>
  <c r="G27" i="1"/>
  <c r="H22" i="1"/>
  <c r="D22" i="1"/>
  <c r="H15" i="1"/>
  <c r="E15" i="1"/>
  <c r="D15" i="1"/>
  <c r="C15" i="1"/>
  <c r="B15" i="1"/>
  <c r="B3" i="2"/>
  <c r="H7" i="2"/>
  <c r="D18" i="2"/>
  <c r="H18" i="2"/>
  <c r="H23" i="2"/>
  <c r="H25" i="2"/>
  <c r="G7" i="2"/>
  <c r="G18" i="2"/>
  <c r="F7" i="2"/>
  <c r="F18" i="2"/>
  <c r="E7" i="2"/>
  <c r="E18" i="2"/>
  <c r="D7" i="2"/>
  <c r="C7" i="2"/>
  <c r="B7" i="2"/>
  <c r="H26" i="2"/>
  <c r="H27" i="2"/>
  <c r="B23" i="1"/>
  <c r="B25" i="1"/>
  <c r="B27" i="1"/>
  <c r="C26" i="1"/>
  <c r="C23" i="1"/>
  <c r="C25" i="1"/>
  <c r="C27" i="1"/>
  <c r="D26" i="1"/>
  <c r="H23" i="1"/>
  <c r="H25" i="1"/>
  <c r="H7" i="1"/>
  <c r="G7" i="1"/>
  <c r="F7" i="1"/>
  <c r="E7" i="1"/>
  <c r="D7" i="1"/>
  <c r="C7" i="1"/>
  <c r="B7" i="1"/>
  <c r="D18" i="1"/>
  <c r="H18" i="1"/>
  <c r="G18" i="1"/>
  <c r="F18" i="1"/>
  <c r="E18" i="1"/>
  <c r="B3" i="1"/>
  <c r="H26" i="1"/>
  <c r="H27" i="1"/>
</calcChain>
</file>

<file path=xl/sharedStrings.xml><?xml version="1.0" encoding="utf-8"?>
<sst xmlns="http://schemas.openxmlformats.org/spreadsheetml/2006/main" count="129" uniqueCount="33">
  <si>
    <t>Feb</t>
  </si>
  <si>
    <t>March</t>
  </si>
  <si>
    <t>April</t>
  </si>
  <si>
    <t>May</t>
  </si>
  <si>
    <t>June</t>
  </si>
  <si>
    <t>July</t>
  </si>
  <si>
    <t>August</t>
  </si>
  <si>
    <t>Inflows</t>
  </si>
  <si>
    <t>Registration</t>
  </si>
  <si>
    <t>Fundraising</t>
  </si>
  <si>
    <t>Admission</t>
  </si>
  <si>
    <t>Concession</t>
  </si>
  <si>
    <t>Total Cash In</t>
  </si>
  <si>
    <t>Outflows</t>
  </si>
  <si>
    <t>Equipment</t>
  </si>
  <si>
    <t>Facilities</t>
  </si>
  <si>
    <t>Operating Expenses:</t>
  </si>
  <si>
    <t>Capital Expenses</t>
  </si>
  <si>
    <t>Financial Commitments:</t>
  </si>
  <si>
    <t>Interest</t>
  </si>
  <si>
    <t>Total Cash Out</t>
  </si>
  <si>
    <t>Closing Cash</t>
  </si>
  <si>
    <t>Enrollment</t>
  </si>
  <si>
    <t>Insurance</t>
  </si>
  <si>
    <t>Rent</t>
  </si>
  <si>
    <t>Referees</t>
  </si>
  <si>
    <t>Bus</t>
  </si>
  <si>
    <t>Food/Water</t>
  </si>
  <si>
    <t>Apparel</t>
  </si>
  <si>
    <t>Surplus/Deficit</t>
  </si>
  <si>
    <t>Opening Cash</t>
  </si>
  <si>
    <t>Practice Maintenance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</si>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</sst>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E22" sqref="E22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32</v>
      </c>
    </row>
    <row r="2" spans="1:9" x14ac:dyDescent="0.2">
      <c r="A2" s="1" t="s">
        <v>7</v>
      </c>
    </row>
    <row r="3" spans="1:9" x14ac:dyDescent="0.2">
      <c r="A3" t="s">
        <v>8</v>
      </c>
      <c r="B3">
        <f>425*35</f>
        <v>14875</v>
      </c>
      <c r="I3">
        <f t="shared" ref="I3:I6" si="0">SUM(B3:H3)</f>
        <v>14875</v>
      </c>
    </row>
    <row r="4" spans="1:9" x14ac:dyDescent="0.2">
      <c r="A4" t="s">
        <v>9</v>
      </c>
      <c r="E4" s="2">
        <v>2500</v>
      </c>
      <c r="I4">
        <f t="shared" si="0"/>
        <v>2500</v>
      </c>
    </row>
    <row r="5" spans="1:9" x14ac:dyDescent="0.2">
      <c r="A5" t="s">
        <v>10</v>
      </c>
      <c r="F5">
        <v>1000</v>
      </c>
      <c r="G5">
        <v>1000</v>
      </c>
      <c r="I5">
        <f t="shared" si="0"/>
        <v>2000</v>
      </c>
    </row>
    <row r="6" spans="1:9" x14ac:dyDescent="0.2">
      <c r="A6" t="s">
        <v>11</v>
      </c>
      <c r="F6">
        <v>1000</v>
      </c>
      <c r="G6">
        <v>1000</v>
      </c>
      <c r="I6">
        <f t="shared" si="0"/>
        <v>2000</v>
      </c>
    </row>
    <row r="7" spans="1:9" x14ac:dyDescent="0.2">
      <c r="A7" t="s">
        <v>12</v>
      </c>
      <c r="B7">
        <f>SUM(B2:B6)</f>
        <v>14875</v>
      </c>
      <c r="C7">
        <f t="shared" ref="C7:H7" si="1">SUM(C2:C6)</f>
        <v>0</v>
      </c>
      <c r="D7">
        <f t="shared" si="1"/>
        <v>0</v>
      </c>
      <c r="E7">
        <f t="shared" si="1"/>
        <v>2500</v>
      </c>
      <c r="F7">
        <f t="shared" si="1"/>
        <v>2000</v>
      </c>
      <c r="G7">
        <f t="shared" si="1"/>
        <v>2000</v>
      </c>
      <c r="H7">
        <f t="shared" si="1"/>
        <v>0</v>
      </c>
      <c r="I7">
        <f>SUM(B7:H7)</f>
        <v>21375</v>
      </c>
    </row>
    <row r="8" spans="1:9" x14ac:dyDescent="0.2">
      <c r="A8" s="1" t="s">
        <v>13</v>
      </c>
      <c r="I8">
        <f t="shared" ref="I8:I23" si="2">SUM(B8:H8)</f>
        <v>0</v>
      </c>
    </row>
    <row r="9" spans="1:9" x14ac:dyDescent="0.2">
      <c r="A9" s="3" t="s">
        <v>16</v>
      </c>
      <c r="I9">
        <f t="shared" si="2"/>
        <v>0</v>
      </c>
    </row>
    <row r="10" spans="1:9" x14ac:dyDescent="0.2">
      <c r="A10" t="s">
        <v>11</v>
      </c>
      <c r="F10">
        <v>450</v>
      </c>
      <c r="G10">
        <v>450</v>
      </c>
      <c r="I10">
        <f t="shared" si="2"/>
        <v>900</v>
      </c>
    </row>
    <row r="11" spans="1:9" x14ac:dyDescent="0.2">
      <c r="A11" t="s">
        <v>22</v>
      </c>
      <c r="C11">
        <v>500</v>
      </c>
      <c r="I11">
        <f t="shared" si="2"/>
        <v>500</v>
      </c>
    </row>
    <row r="12" spans="1:9" x14ac:dyDescent="0.2">
      <c r="A12" t="s">
        <v>23</v>
      </c>
      <c r="C12">
        <v>900</v>
      </c>
      <c r="I12">
        <f t="shared" si="2"/>
        <v>900</v>
      </c>
    </row>
    <row r="13" spans="1:9" x14ac:dyDescent="0.2">
      <c r="A13" t="s">
        <v>25</v>
      </c>
      <c r="F13">
        <v>400</v>
      </c>
      <c r="G13">
        <v>400</v>
      </c>
      <c r="I13">
        <f t="shared" si="2"/>
        <v>800</v>
      </c>
    </row>
    <row r="14" spans="1:9" x14ac:dyDescent="0.2">
      <c r="A14" t="s">
        <v>26</v>
      </c>
      <c r="F14">
        <v>2300</v>
      </c>
      <c r="G14">
        <v>4600</v>
      </c>
      <c r="H14">
        <v>2300</v>
      </c>
      <c r="I14">
        <f t="shared" si="2"/>
        <v>9200</v>
      </c>
    </row>
    <row r="15" spans="1:9" x14ac:dyDescent="0.2">
      <c r="A15" t="s">
        <v>27</v>
      </c>
      <c r="B15">
        <f>800/5</f>
        <v>160</v>
      </c>
      <c r="C15">
        <f t="shared" ref="C15:H15" si="3">800/5</f>
        <v>160</v>
      </c>
      <c r="D15">
        <f t="shared" si="3"/>
        <v>160</v>
      </c>
      <c r="E15">
        <f t="shared" si="3"/>
        <v>160</v>
      </c>
      <c r="F15">
        <v>400</v>
      </c>
      <c r="G15">
        <v>400</v>
      </c>
      <c r="H15">
        <f t="shared" si="3"/>
        <v>160</v>
      </c>
      <c r="I15">
        <f t="shared" si="2"/>
        <v>1600</v>
      </c>
    </row>
    <row r="16" spans="1:9" x14ac:dyDescent="0.2">
      <c r="A16" t="s">
        <v>28</v>
      </c>
      <c r="C16">
        <v>1000</v>
      </c>
      <c r="I16">
        <f t="shared" si="2"/>
        <v>1000</v>
      </c>
    </row>
    <row r="17" spans="1:9" x14ac:dyDescent="0.2">
      <c r="A17" t="s">
        <v>24</v>
      </c>
      <c r="F17">
        <v>400</v>
      </c>
      <c r="G17">
        <v>400</v>
      </c>
      <c r="I17">
        <f t="shared" si="2"/>
        <v>800</v>
      </c>
    </row>
    <row r="18" spans="1:9" x14ac:dyDescent="0.2">
      <c r="A18" t="s">
        <v>15</v>
      </c>
      <c r="D18">
        <f>1500/5</f>
        <v>300</v>
      </c>
      <c r="E18">
        <f>D18</f>
        <v>300</v>
      </c>
      <c r="F18">
        <f>D18</f>
        <v>300</v>
      </c>
      <c r="G18">
        <f>D18</f>
        <v>300</v>
      </c>
      <c r="H18">
        <f>D18</f>
        <v>300</v>
      </c>
      <c r="I18">
        <f t="shared" si="2"/>
        <v>1500</v>
      </c>
    </row>
    <row r="19" spans="1:9" x14ac:dyDescent="0.2">
      <c r="A19" t="s">
        <v>17</v>
      </c>
      <c r="I19">
        <f t="shared" si="2"/>
        <v>0</v>
      </c>
    </row>
    <row r="20" spans="1:9" x14ac:dyDescent="0.2">
      <c r="A20" t="s">
        <v>14</v>
      </c>
      <c r="D20">
        <f>510*40</f>
        <v>20400</v>
      </c>
      <c r="I20">
        <f t="shared" si="2"/>
        <v>20400</v>
      </c>
    </row>
    <row r="21" spans="1:9" x14ac:dyDescent="0.2">
      <c r="A21" t="s">
        <v>18</v>
      </c>
      <c r="I21">
        <f t="shared" si="2"/>
        <v>0</v>
      </c>
    </row>
    <row r="22" spans="1:9" x14ac:dyDescent="0.2">
      <c r="A22" t="s">
        <v>19</v>
      </c>
      <c r="D22">
        <f>IF(C27&lt;0,ABS(C27*6.5%*1/12),0)</f>
        <v>0</v>
      </c>
      <c r="E22">
        <f t="shared" ref="E22:H22" si="4">IF(D27&lt;0,ABS(D27*6.5%*1/12),0)</f>
        <v>47.152083333333337</v>
      </c>
      <c r="F22">
        <f t="shared" si="4"/>
        <v>36.357490451388891</v>
      </c>
      <c r="G22">
        <f t="shared" si="4"/>
        <v>48.741926858000575</v>
      </c>
      <c r="H22">
        <f t="shared" si="4"/>
        <v>73.651778961814756</v>
      </c>
      <c r="I22">
        <f t="shared" si="2"/>
        <v>205.90327960453754</v>
      </c>
    </row>
    <row r="23" spans="1:9" x14ac:dyDescent="0.2">
      <c r="A23" t="s">
        <v>20</v>
      </c>
      <c r="B23">
        <f>SUM(B9:B22)</f>
        <v>160</v>
      </c>
      <c r="C23">
        <f>SUM(C9:C22)</f>
        <v>2560</v>
      </c>
      <c r="D23">
        <f t="shared" ref="D23:H23" si="5">SUM(D9:D22)</f>
        <v>20860</v>
      </c>
      <c r="E23">
        <f t="shared" si="5"/>
        <v>507.15208333333334</v>
      </c>
      <c r="F23">
        <f t="shared" si="5"/>
        <v>4286.3574904513889</v>
      </c>
      <c r="G23">
        <f t="shared" si="5"/>
        <v>6598.7419268580006</v>
      </c>
      <c r="H23">
        <f t="shared" si="5"/>
        <v>2833.6517789618147</v>
      </c>
      <c r="I23">
        <f t="shared" si="2"/>
        <v>37805.903279604536</v>
      </c>
    </row>
    <row r="25" spans="1:9" x14ac:dyDescent="0.2">
      <c r="A25" t="s">
        <v>29</v>
      </c>
      <c r="B25">
        <f>B7-B23</f>
        <v>14715</v>
      </c>
      <c r="C25">
        <f t="shared" ref="C25:H25" si="6">C7-C23</f>
        <v>-2560</v>
      </c>
      <c r="D25">
        <f t="shared" si="6"/>
        <v>-20860</v>
      </c>
      <c r="E25">
        <f t="shared" si="6"/>
        <v>1992.8479166666666</v>
      </c>
      <c r="F25">
        <f t="shared" si="6"/>
        <v>-2286.3574904513889</v>
      </c>
      <c r="G25">
        <f t="shared" si="6"/>
        <v>-4598.7419268580006</v>
      </c>
      <c r="H25">
        <f t="shared" si="6"/>
        <v>-2833.6517789618147</v>
      </c>
    </row>
    <row r="26" spans="1:9" x14ac:dyDescent="0.2">
      <c r="A26" t="s">
        <v>30</v>
      </c>
      <c r="B26">
        <v>0</v>
      </c>
      <c r="C26">
        <f>B27</f>
        <v>14715</v>
      </c>
      <c r="D26">
        <f t="shared" ref="D26:H26" si="7">C27</f>
        <v>12155</v>
      </c>
      <c r="E26">
        <f t="shared" si="7"/>
        <v>-8705</v>
      </c>
      <c r="F26">
        <f t="shared" si="7"/>
        <v>-6712.1520833333334</v>
      </c>
      <c r="G26">
        <f t="shared" si="7"/>
        <v>-8998.5095737847223</v>
      </c>
      <c r="H26">
        <f t="shared" si="7"/>
        <v>-13597.251500642724</v>
      </c>
    </row>
    <row r="27" spans="1:9" x14ac:dyDescent="0.2">
      <c r="A27" t="s">
        <v>21</v>
      </c>
      <c r="B27">
        <f>B25+B26</f>
        <v>14715</v>
      </c>
      <c r="C27">
        <f>C25+C26</f>
        <v>12155</v>
      </c>
      <c r="D27">
        <f t="shared" ref="D27:H27" si="8">D25+D26</f>
        <v>-8705</v>
      </c>
      <c r="E27">
        <f t="shared" si="8"/>
        <v>-6712.1520833333334</v>
      </c>
      <c r="F27">
        <f t="shared" si="8"/>
        <v>-8998.5095737847223</v>
      </c>
      <c r="G27">
        <f t="shared" si="8"/>
        <v>-13597.251500642724</v>
      </c>
      <c r="H27">
        <f t="shared" si="8"/>
        <v>-16430.903279604539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D21" sqref="D21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</row>
    <row r="3" spans="1:8" x14ac:dyDescent="0.2">
      <c r="A3" t="s">
        <v>8</v>
      </c>
      <c r="B3">
        <f>550*30</f>
        <v>16500</v>
      </c>
    </row>
    <row r="4" spans="1:8" x14ac:dyDescent="0.2">
      <c r="A4" t="s">
        <v>9</v>
      </c>
      <c r="E4" s="2">
        <v>2100</v>
      </c>
    </row>
    <row r="5" spans="1:8" x14ac:dyDescent="0.2">
      <c r="A5" t="s">
        <v>10</v>
      </c>
      <c r="F5">
        <v>1000</v>
      </c>
      <c r="G5">
        <v>1000</v>
      </c>
    </row>
    <row r="6" spans="1:8" x14ac:dyDescent="0.2">
      <c r="A6" t="s">
        <v>11</v>
      </c>
      <c r="F6">
        <v>1000</v>
      </c>
      <c r="G6">
        <v>1000</v>
      </c>
    </row>
    <row r="7" spans="1:8" x14ac:dyDescent="0.2">
      <c r="A7" t="s">
        <v>12</v>
      </c>
      <c r="B7">
        <f>SUM(B2:B6)</f>
        <v>16500</v>
      </c>
      <c r="C7">
        <f t="shared" ref="C7:H7" si="0">SUM(C2:C6)</f>
        <v>0</v>
      </c>
      <c r="D7">
        <f t="shared" si="0"/>
        <v>0</v>
      </c>
      <c r="E7">
        <f t="shared" si="0"/>
        <v>2100</v>
      </c>
      <c r="F7">
        <f t="shared" si="0"/>
        <v>2000</v>
      </c>
      <c r="G7">
        <f t="shared" si="0"/>
        <v>2000</v>
      </c>
      <c r="H7">
        <f t="shared" si="0"/>
        <v>0</v>
      </c>
    </row>
    <row r="8" spans="1:8" x14ac:dyDescent="0.2">
      <c r="A8" s="1" t="s">
        <v>13</v>
      </c>
    </row>
    <row r="9" spans="1:8" x14ac:dyDescent="0.2">
      <c r="A9" s="3" t="s">
        <v>16</v>
      </c>
    </row>
    <row r="10" spans="1:8" x14ac:dyDescent="0.2">
      <c r="A10" t="s">
        <v>11</v>
      </c>
      <c r="F10">
        <v>450</v>
      </c>
      <c r="G10">
        <v>450</v>
      </c>
    </row>
    <row r="11" spans="1:8" x14ac:dyDescent="0.2">
      <c r="A11" t="s">
        <v>22</v>
      </c>
      <c r="C11">
        <v>500</v>
      </c>
    </row>
    <row r="12" spans="1:8" x14ac:dyDescent="0.2">
      <c r="A12" t="s">
        <v>23</v>
      </c>
      <c r="C12">
        <v>900</v>
      </c>
    </row>
    <row r="13" spans="1:8" x14ac:dyDescent="0.2">
      <c r="A13" t="s">
        <v>25</v>
      </c>
      <c r="F13">
        <v>400</v>
      </c>
      <c r="G13">
        <v>400</v>
      </c>
    </row>
    <row r="14" spans="1:8" x14ac:dyDescent="0.2">
      <c r="A14" t="s">
        <v>26</v>
      </c>
      <c r="F14">
        <v>2300</v>
      </c>
      <c r="G14">
        <v>4600</v>
      </c>
      <c r="H14">
        <v>2300</v>
      </c>
    </row>
    <row r="15" spans="1:8" x14ac:dyDescent="0.2">
      <c r="A15" t="s">
        <v>27</v>
      </c>
      <c r="B15">
        <f>700/5</f>
        <v>140</v>
      </c>
      <c r="C15">
        <f t="shared" ref="C15:H15" si="1">700/5</f>
        <v>140</v>
      </c>
      <c r="D15">
        <f t="shared" si="1"/>
        <v>140</v>
      </c>
      <c r="E15">
        <f t="shared" si="1"/>
        <v>140</v>
      </c>
      <c r="F15">
        <v>350</v>
      </c>
      <c r="G15">
        <v>350</v>
      </c>
      <c r="H15">
        <f t="shared" si="1"/>
        <v>140</v>
      </c>
    </row>
    <row r="16" spans="1:8" x14ac:dyDescent="0.2">
      <c r="A16" t="s">
        <v>28</v>
      </c>
      <c r="C16">
        <v>1000</v>
      </c>
    </row>
    <row r="17" spans="1:8" x14ac:dyDescent="0.2">
      <c r="A17" t="s">
        <v>24</v>
      </c>
      <c r="F17">
        <v>400</v>
      </c>
      <c r="G17">
        <v>400</v>
      </c>
    </row>
    <row r="18" spans="1:8" x14ac:dyDescent="0.2">
      <c r="A18" t="s">
        <v>31</v>
      </c>
      <c r="D18">
        <f>1500/5</f>
        <v>300</v>
      </c>
      <c r="E18">
        <f>D18</f>
        <v>300</v>
      </c>
      <c r="F18">
        <f>D18</f>
        <v>300</v>
      </c>
      <c r="G18">
        <f>D18</f>
        <v>300</v>
      </c>
      <c r="H18">
        <f>D18</f>
        <v>300</v>
      </c>
    </row>
    <row r="19" spans="1:8" x14ac:dyDescent="0.2">
      <c r="A19" t="s">
        <v>17</v>
      </c>
    </row>
    <row r="20" spans="1:8" x14ac:dyDescent="0.2">
      <c r="A20" t="s">
        <v>14</v>
      </c>
      <c r="D20">
        <f>(510-390)*35</f>
        <v>4200</v>
      </c>
    </row>
    <row r="21" spans="1:8" x14ac:dyDescent="0.2">
      <c r="A21" t="s">
        <v>18</v>
      </c>
    </row>
    <row r="22" spans="1:8" x14ac:dyDescent="0.2">
      <c r="A22" t="s">
        <v>19</v>
      </c>
      <c r="D22">
        <f>IF(C27&lt;0,ABS(C27*6.5%*1/12),0)</f>
        <v>0</v>
      </c>
      <c r="E22">
        <f>IF(D27&lt;0,ABS(D27*6.5%*1/12),0)</f>
        <v>0</v>
      </c>
      <c r="F22">
        <f>IF(E27&lt;0,ABS(E27*6.5%*1/12),0)</f>
        <v>0</v>
      </c>
      <c r="G22">
        <f>IF(F27&lt;0,ABS(F27*6.5%*1/12),0)</f>
        <v>0</v>
      </c>
      <c r="H22">
        <f>IF(G27&lt;0,ABS(G27*6.5%*1/12),0)</f>
        <v>0</v>
      </c>
    </row>
    <row r="23" spans="1:8" x14ac:dyDescent="0.2">
      <c r="A23" t="s">
        <v>20</v>
      </c>
      <c r="B23">
        <f>SUM(B9:B22)</f>
        <v>140</v>
      </c>
      <c r="C23">
        <f>SUM(C9:C22)</f>
        <v>2540</v>
      </c>
      <c r="D23">
        <f t="shared" ref="D23:H23" si="2">SUM(D9:D22)</f>
        <v>4640</v>
      </c>
      <c r="E23">
        <f t="shared" si="2"/>
        <v>440</v>
      </c>
      <c r="F23">
        <f t="shared" si="2"/>
        <v>4200</v>
      </c>
      <c r="G23">
        <f t="shared" si="2"/>
        <v>6500</v>
      </c>
      <c r="H23">
        <f t="shared" si="2"/>
        <v>2740</v>
      </c>
    </row>
    <row r="25" spans="1:8" x14ac:dyDescent="0.2">
      <c r="A25" t="s">
        <v>29</v>
      </c>
      <c r="B25">
        <f>B7-B23</f>
        <v>16360</v>
      </c>
      <c r="C25">
        <f t="shared" ref="C25:H25" si="3">C7-C23</f>
        <v>-2540</v>
      </c>
      <c r="D25">
        <f t="shared" si="3"/>
        <v>-4640</v>
      </c>
      <c r="E25">
        <f t="shared" si="3"/>
        <v>1660</v>
      </c>
      <c r="F25">
        <f t="shared" si="3"/>
        <v>-2200</v>
      </c>
      <c r="G25">
        <f t="shared" si="3"/>
        <v>-4500</v>
      </c>
      <c r="H25">
        <f t="shared" si="3"/>
        <v>-2740</v>
      </c>
    </row>
    <row r="26" spans="1:8" x14ac:dyDescent="0.2">
      <c r="A26" t="s">
        <v>30</v>
      </c>
      <c r="B26">
        <v>0</v>
      </c>
      <c r="C26">
        <f>B27</f>
        <v>16360</v>
      </c>
      <c r="D26">
        <f t="shared" ref="D26:H26" si="4">C27</f>
        <v>13820</v>
      </c>
      <c r="E26">
        <f t="shared" si="4"/>
        <v>9180</v>
      </c>
      <c r="F26">
        <f t="shared" si="4"/>
        <v>10840</v>
      </c>
      <c r="G26">
        <f t="shared" si="4"/>
        <v>8640</v>
      </c>
      <c r="H26">
        <f t="shared" si="4"/>
        <v>4140</v>
      </c>
    </row>
    <row r="27" spans="1:8" x14ac:dyDescent="0.2">
      <c r="A27" t="s">
        <v>21</v>
      </c>
      <c r="B27">
        <f>B25+B26</f>
        <v>16360</v>
      </c>
      <c r="C27">
        <f>C25+C26</f>
        <v>13820</v>
      </c>
      <c r="D27">
        <f t="shared" ref="D27:H27" si="5">D25+D26</f>
        <v>9180</v>
      </c>
      <c r="E27">
        <f t="shared" si="5"/>
        <v>10840</v>
      </c>
      <c r="F27">
        <f t="shared" si="5"/>
        <v>8640</v>
      </c>
      <c r="G27">
        <f t="shared" si="5"/>
        <v>4140</v>
      </c>
      <c r="H27">
        <f t="shared" si="5"/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E22" sqref="E22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</row>
    <row r="3" spans="1:8" x14ac:dyDescent="0.2">
      <c r="A3" t="s">
        <v>8</v>
      </c>
      <c r="B3">
        <f>425*35</f>
        <v>14875</v>
      </c>
    </row>
    <row r="4" spans="1:8" x14ac:dyDescent="0.2">
      <c r="A4" t="s">
        <v>9</v>
      </c>
      <c r="E4" s="2">
        <v>2500</v>
      </c>
    </row>
    <row r="5" spans="1:8" x14ac:dyDescent="0.2">
      <c r="A5" t="s">
        <v>10</v>
      </c>
      <c r="F5">
        <v>1000</v>
      </c>
      <c r="G5">
        <v>1000</v>
      </c>
    </row>
    <row r="6" spans="1:8" x14ac:dyDescent="0.2">
      <c r="A6" t="s">
        <v>11</v>
      </c>
      <c r="F6">
        <v>1000</v>
      </c>
      <c r="G6">
        <v>1000</v>
      </c>
    </row>
    <row r="7" spans="1:8" x14ac:dyDescent="0.2">
      <c r="A7" t="s">
        <v>12</v>
      </c>
      <c r="B7">
        <f>SUM(B2:B6)</f>
        <v>14875</v>
      </c>
      <c r="C7">
        <f t="shared" ref="C7:H7" si="0">SUM(C2:C6)</f>
        <v>0</v>
      </c>
      <c r="D7">
        <f t="shared" si="0"/>
        <v>0</v>
      </c>
      <c r="E7">
        <f t="shared" si="0"/>
        <v>2500</v>
      </c>
      <c r="F7">
        <f t="shared" si="0"/>
        <v>2000</v>
      </c>
      <c r="G7">
        <f t="shared" si="0"/>
        <v>2000</v>
      </c>
      <c r="H7">
        <f t="shared" si="0"/>
        <v>0</v>
      </c>
    </row>
    <row r="8" spans="1:8" x14ac:dyDescent="0.2">
      <c r="A8" s="1" t="s">
        <v>13</v>
      </c>
    </row>
    <row r="9" spans="1:8" x14ac:dyDescent="0.2">
      <c r="A9" s="3" t="s">
        <v>16</v>
      </c>
    </row>
    <row r="10" spans="1:8" x14ac:dyDescent="0.2">
      <c r="A10" t="s">
        <v>11</v>
      </c>
      <c r="F10">
        <v>450</v>
      </c>
      <c r="G10">
        <v>450</v>
      </c>
    </row>
    <row r="11" spans="1:8" x14ac:dyDescent="0.2">
      <c r="A11" t="s">
        <v>22</v>
      </c>
      <c r="C11">
        <v>500</v>
      </c>
    </row>
    <row r="12" spans="1:8" x14ac:dyDescent="0.2">
      <c r="A12" t="s">
        <v>23</v>
      </c>
      <c r="C12">
        <v>900</v>
      </c>
    </row>
    <row r="13" spans="1:8" x14ac:dyDescent="0.2">
      <c r="A13" t="s">
        <v>25</v>
      </c>
      <c r="F13">
        <v>400</v>
      </c>
      <c r="G13">
        <v>400</v>
      </c>
    </row>
    <row r="14" spans="1:8" x14ac:dyDescent="0.2">
      <c r="A14" t="s">
        <v>26</v>
      </c>
      <c r="F14">
        <v>2300</v>
      </c>
      <c r="G14">
        <v>4600</v>
      </c>
      <c r="H14">
        <v>2300</v>
      </c>
    </row>
    <row r="15" spans="1:8" x14ac:dyDescent="0.2">
      <c r="A15" t="s">
        <v>27</v>
      </c>
      <c r="B15">
        <f>800/5</f>
        <v>160</v>
      </c>
      <c r="C15">
        <f t="shared" ref="C15:H15" si="1">800/5</f>
        <v>160</v>
      </c>
      <c r="D15">
        <f t="shared" si="1"/>
        <v>160</v>
      </c>
      <c r="E15">
        <f t="shared" si="1"/>
        <v>160</v>
      </c>
      <c r="F15">
        <v>400</v>
      </c>
      <c r="G15">
        <v>400</v>
      </c>
      <c r="H15">
        <f t="shared" si="1"/>
        <v>160</v>
      </c>
    </row>
    <row r="16" spans="1:8" x14ac:dyDescent="0.2">
      <c r="A16" t="s">
        <v>28</v>
      </c>
      <c r="C16">
        <v>1000</v>
      </c>
    </row>
    <row r="17" spans="1:8" x14ac:dyDescent="0.2">
      <c r="A17" t="s">
        <v>24</v>
      </c>
      <c r="F17">
        <v>400</v>
      </c>
      <c r="G17">
        <v>400</v>
      </c>
    </row>
    <row r="18" spans="1:8" x14ac:dyDescent="0.2">
      <c r="A18" t="s">
        <v>15</v>
      </c>
      <c r="D18">
        <f>1500/5</f>
        <v>300</v>
      </c>
      <c r="E18">
        <f>D18</f>
        <v>300</v>
      </c>
      <c r="F18">
        <f>D18</f>
        <v>300</v>
      </c>
      <c r="G18">
        <f>D18</f>
        <v>300</v>
      </c>
      <c r="H18">
        <f>D18</f>
        <v>300</v>
      </c>
    </row>
    <row r="19" spans="1:8" x14ac:dyDescent="0.2">
      <c r="A19" t="s">
        <v>17</v>
      </c>
    </row>
    <row r="20" spans="1:8" x14ac:dyDescent="0.2">
      <c r="A20" t="s">
        <v>14</v>
      </c>
      <c r="D20">
        <f>(510-390)*40</f>
        <v>4800</v>
      </c>
    </row>
    <row r="21" spans="1:8" x14ac:dyDescent="0.2">
      <c r="A21" t="s">
        <v>18</v>
      </c>
    </row>
    <row r="22" spans="1:8" x14ac:dyDescent="0.2">
      <c r="A22" t="s">
        <v>19</v>
      </c>
      <c r="D22">
        <f>IF(C27&lt;0,ABS(C27*6.5%*1/12),0)</f>
        <v>0</v>
      </c>
      <c r="E22">
        <f t="shared" ref="E22:H22" si="2">IF(D27&lt;0,ABS(D27*6.5%*1/12),0)</f>
        <v>0</v>
      </c>
      <c r="F22">
        <f t="shared" si="2"/>
        <v>0</v>
      </c>
      <c r="G22">
        <f t="shared" si="2"/>
        <v>0</v>
      </c>
      <c r="H22">
        <f t="shared" si="2"/>
        <v>0</v>
      </c>
    </row>
    <row r="23" spans="1:8" x14ac:dyDescent="0.2">
      <c r="A23" t="s">
        <v>20</v>
      </c>
      <c r="B23">
        <f>SUM(B9:B22)</f>
        <v>160</v>
      </c>
      <c r="C23">
        <f>SUM(C9:C22)</f>
        <v>2560</v>
      </c>
      <c r="D23">
        <f t="shared" ref="D23:H23" si="3">SUM(D9:D22)</f>
        <v>5260</v>
      </c>
      <c r="E23">
        <f t="shared" si="3"/>
        <v>460</v>
      </c>
      <c r="F23">
        <f t="shared" si="3"/>
        <v>4250</v>
      </c>
      <c r="G23">
        <f t="shared" si="3"/>
        <v>6550</v>
      </c>
      <c r="H23">
        <f t="shared" si="3"/>
        <v>2760</v>
      </c>
    </row>
    <row r="25" spans="1:8" x14ac:dyDescent="0.2">
      <c r="A25" t="s">
        <v>29</v>
      </c>
      <c r="B25">
        <f>B7-B23</f>
        <v>14715</v>
      </c>
      <c r="C25">
        <f t="shared" ref="C25:H25" si="4">C7-C23</f>
        <v>-2560</v>
      </c>
      <c r="D25">
        <f t="shared" si="4"/>
        <v>-5260</v>
      </c>
      <c r="E25">
        <f t="shared" si="4"/>
        <v>2040</v>
      </c>
      <c r="F25">
        <f t="shared" si="4"/>
        <v>-2250</v>
      </c>
      <c r="G25">
        <f t="shared" si="4"/>
        <v>-4550</v>
      </c>
      <c r="H25">
        <f t="shared" si="4"/>
        <v>-2760</v>
      </c>
    </row>
    <row r="26" spans="1:8" x14ac:dyDescent="0.2">
      <c r="A26" t="s">
        <v>30</v>
      </c>
      <c r="B26">
        <v>0</v>
      </c>
      <c r="C26">
        <f>B27</f>
        <v>14715</v>
      </c>
      <c r="D26">
        <f t="shared" ref="D26:H26" si="5">C27</f>
        <v>12155</v>
      </c>
      <c r="E26">
        <f t="shared" si="5"/>
        <v>6895</v>
      </c>
      <c r="F26">
        <f t="shared" si="5"/>
        <v>8935</v>
      </c>
      <c r="G26">
        <f t="shared" si="5"/>
        <v>6685</v>
      </c>
      <c r="H26">
        <f t="shared" si="5"/>
        <v>2135</v>
      </c>
    </row>
    <row r="27" spans="1:8" x14ac:dyDescent="0.2">
      <c r="A27" t="s">
        <v>21</v>
      </c>
      <c r="B27">
        <f>B25+B26</f>
        <v>14715</v>
      </c>
      <c r="C27">
        <f>C25+C26</f>
        <v>12155</v>
      </c>
      <c r="D27">
        <f t="shared" ref="D27:H27" si="6">D25+D26</f>
        <v>6895</v>
      </c>
      <c r="E27">
        <f t="shared" si="6"/>
        <v>8935</v>
      </c>
      <c r="F27">
        <f t="shared" si="6"/>
        <v>6685</v>
      </c>
      <c r="G27">
        <f t="shared" si="6"/>
        <v>2135</v>
      </c>
      <c r="H27">
        <f t="shared" si="6"/>
        <v>-625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V7" sqref="V7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</row>
    <row r="3" spans="1:8" x14ac:dyDescent="0.2">
      <c r="A3" t="s">
        <v>8</v>
      </c>
      <c r="B3">
        <f>425*35</f>
        <v>14875</v>
      </c>
    </row>
    <row r="4" spans="1:8" x14ac:dyDescent="0.2">
      <c r="A4" t="s">
        <v>9</v>
      </c>
      <c r="E4" s="2">
        <v>2500</v>
      </c>
    </row>
    <row r="5" spans="1:8" x14ac:dyDescent="0.2">
      <c r="A5" t="s">
        <v>10</v>
      </c>
      <c r="F5">
        <v>1000</v>
      </c>
      <c r="G5">
        <v>1000</v>
      </c>
    </row>
    <row r="6" spans="1:8" x14ac:dyDescent="0.2">
      <c r="A6" t="s">
        <v>11</v>
      </c>
      <c r="F6">
        <v>1000</v>
      </c>
      <c r="G6">
        <v>1000</v>
      </c>
    </row>
    <row r="7" spans="1:8" x14ac:dyDescent="0.2">
      <c r="A7" t="s">
        <v>12</v>
      </c>
      <c r="B7">
        <f>SUM(B2:B6)</f>
        <v>14875</v>
      </c>
      <c r="C7">
        <f t="shared" ref="C7:H7" si="0">SUM(C2:C6)</f>
        <v>0</v>
      </c>
      <c r="D7">
        <f t="shared" si="0"/>
        <v>0</v>
      </c>
      <c r="E7">
        <f t="shared" si="0"/>
        <v>2500</v>
      </c>
      <c r="F7">
        <f t="shared" si="0"/>
        <v>2000</v>
      </c>
      <c r="G7">
        <f t="shared" si="0"/>
        <v>2000</v>
      </c>
      <c r="H7">
        <f t="shared" si="0"/>
        <v>0</v>
      </c>
    </row>
    <row r="8" spans="1:8" x14ac:dyDescent="0.2">
      <c r="A8" s="1" t="s">
        <v>13</v>
      </c>
    </row>
    <row r="9" spans="1:8" x14ac:dyDescent="0.2">
      <c r="A9" s="3" t="s">
        <v>16</v>
      </c>
    </row>
    <row r="10" spans="1:8" x14ac:dyDescent="0.2">
      <c r="A10" t="s">
        <v>11</v>
      </c>
      <c r="F10">
        <v>450</v>
      </c>
      <c r="G10">
        <v>450</v>
      </c>
    </row>
    <row r="11" spans="1:8" x14ac:dyDescent="0.2">
      <c r="A11" t="s">
        <v>22</v>
      </c>
      <c r="C11">
        <v>500</v>
      </c>
    </row>
    <row r="12" spans="1:8" x14ac:dyDescent="0.2">
      <c r="A12" t="s">
        <v>23</v>
      </c>
      <c r="C12">
        <v>900</v>
      </c>
    </row>
    <row r="13" spans="1:8" x14ac:dyDescent="0.2">
      <c r="A13" t="s">
        <v>25</v>
      </c>
      <c r="F13">
        <v>400</v>
      </c>
      <c r="G13">
        <v>400</v>
      </c>
    </row>
    <row r="14" spans="1:8" x14ac:dyDescent="0.2">
      <c r="A14" t="s">
        <v>26</v>
      </c>
      <c r="F14">
        <v>2300</v>
      </c>
      <c r="G14">
        <v>4600</v>
      </c>
      <c r="H14">
        <v>2300</v>
      </c>
    </row>
    <row r="15" spans="1:8" x14ac:dyDescent="0.2">
      <c r="A15" t="s">
        <v>27</v>
      </c>
      <c r="B15">
        <f>800/5</f>
        <v>160</v>
      </c>
      <c r="C15">
        <f t="shared" ref="C15:H15" si="1">800/5</f>
        <v>160</v>
      </c>
      <c r="D15">
        <f t="shared" si="1"/>
        <v>160</v>
      </c>
      <c r="E15">
        <f t="shared" si="1"/>
        <v>160</v>
      </c>
      <c r="F15">
        <v>400</v>
      </c>
      <c r="G15">
        <v>400</v>
      </c>
      <c r="H15">
        <f t="shared" si="1"/>
        <v>160</v>
      </c>
    </row>
    <row r="16" spans="1:8" x14ac:dyDescent="0.2">
      <c r="A16" t="s">
        <v>28</v>
      </c>
      <c r="C16">
        <v>1000</v>
      </c>
    </row>
    <row r="17" spans="1:8" x14ac:dyDescent="0.2">
      <c r="A17" t="s">
        <v>24</v>
      </c>
      <c r="F17">
        <v>400</v>
      </c>
      <c r="G17">
        <v>400</v>
      </c>
    </row>
    <row r="18" spans="1:8" x14ac:dyDescent="0.2">
      <c r="A18" t="s">
        <v>15</v>
      </c>
      <c r="D18">
        <f>1500/5</f>
        <v>300</v>
      </c>
      <c r="E18">
        <f>D18</f>
        <v>300</v>
      </c>
      <c r="F18">
        <f>D18</f>
        <v>300</v>
      </c>
      <c r="G18">
        <f>D18</f>
        <v>300</v>
      </c>
      <c r="H18">
        <f>D18</f>
        <v>300</v>
      </c>
    </row>
    <row r="19" spans="1:8" x14ac:dyDescent="0.2">
      <c r="A19" t="s">
        <v>17</v>
      </c>
    </row>
    <row r="20" spans="1:8" x14ac:dyDescent="0.2">
      <c r="A20" t="s">
        <v>14</v>
      </c>
      <c r="D20">
        <f>(510-390)*40</f>
        <v>4800</v>
      </c>
    </row>
    <row r="21" spans="1:8" x14ac:dyDescent="0.2">
      <c r="A21" t="s">
        <v>18</v>
      </c>
    </row>
    <row r="22" spans="1:8" x14ac:dyDescent="0.2">
      <c r="A22" t="s">
        <v>19</v>
      </c>
      <c r="D22">
        <f>IF(C27&lt;0,ABS(C27*6.5%*1/12),0)</f>
        <v>0</v>
      </c>
      <c r="E22">
        <f t="shared" ref="E22:H22" si="2">IF(D27&lt;0,ABS(D27*6.5%*1/12),0)</f>
        <v>0</v>
      </c>
      <c r="F22">
        <f t="shared" si="2"/>
        <v>0</v>
      </c>
      <c r="G22">
        <f t="shared" si="2"/>
        <v>0</v>
      </c>
      <c r="H22">
        <f t="shared" si="2"/>
        <v>0</v>
      </c>
    </row>
    <row r="23" spans="1:8" x14ac:dyDescent="0.2">
      <c r="A23" t="s">
        <v>20</v>
      </c>
      <c r="B23">
        <f>SUM(B9:B22)</f>
        <v>160</v>
      </c>
      <c r="C23">
        <f>SUM(C9:C22)</f>
        <v>2560</v>
      </c>
      <c r="D23">
        <f t="shared" ref="D23:H23" si="3">SUM(D9:D22)</f>
        <v>5260</v>
      </c>
      <c r="E23">
        <f t="shared" si="3"/>
        <v>460</v>
      </c>
      <c r="F23">
        <f t="shared" si="3"/>
        <v>4250</v>
      </c>
      <c r="G23">
        <f t="shared" si="3"/>
        <v>6550</v>
      </c>
      <c r="H23">
        <f t="shared" si="3"/>
        <v>2760</v>
      </c>
    </row>
    <row r="25" spans="1:8" x14ac:dyDescent="0.2">
      <c r="A25" t="s">
        <v>29</v>
      </c>
      <c r="B25">
        <f>B7-B23</f>
        <v>14715</v>
      </c>
      <c r="C25">
        <f t="shared" ref="C25:H25" si="4">C7-C23</f>
        <v>-2560</v>
      </c>
      <c r="D25">
        <f t="shared" si="4"/>
        <v>-5260</v>
      </c>
      <c r="E25">
        <f t="shared" si="4"/>
        <v>2040</v>
      </c>
      <c r="F25">
        <f t="shared" si="4"/>
        <v>-2250</v>
      </c>
      <c r="G25">
        <f t="shared" si="4"/>
        <v>-4550</v>
      </c>
      <c r="H25">
        <f t="shared" si="4"/>
        <v>-2760</v>
      </c>
    </row>
    <row r="26" spans="1:8" x14ac:dyDescent="0.2">
      <c r="A26" t="s">
        <v>30</v>
      </c>
      <c r="B26">
        <v>0</v>
      </c>
      <c r="C26">
        <f>B27</f>
        <v>14715</v>
      </c>
      <c r="D26">
        <f t="shared" ref="D26:H26" si="5">C27</f>
        <v>12155</v>
      </c>
      <c r="E26">
        <f t="shared" si="5"/>
        <v>6895</v>
      </c>
      <c r="F26">
        <f t="shared" si="5"/>
        <v>8935</v>
      </c>
      <c r="G26">
        <f t="shared" si="5"/>
        <v>6685</v>
      </c>
      <c r="H26">
        <f t="shared" si="5"/>
        <v>2135</v>
      </c>
    </row>
    <row r="27" spans="1:8" x14ac:dyDescent="0.2">
      <c r="A27" t="s">
        <v>21</v>
      </c>
      <c r="B27">
        <f>B25+B26</f>
        <v>14715</v>
      </c>
      <c r="C27">
        <f>C25+C26</f>
        <v>12155</v>
      </c>
      <c r="D27">
        <f t="shared" ref="D27:H27" si="6">D25+D26</f>
        <v>6895</v>
      </c>
      <c r="E27">
        <f t="shared" si="6"/>
        <v>8935</v>
      </c>
      <c r="F27">
        <f t="shared" si="6"/>
        <v>6685</v>
      </c>
      <c r="G27">
        <f t="shared" si="6"/>
        <v>2135</v>
      </c>
      <c r="H27">
        <f t="shared" si="6"/>
        <v>-625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2018-01-24T16:19:40Z</cp:lastPrinted>
  <dcterms:created xsi:type="dcterms:W3CDTF">2018-01-24T02:56:53Z</dcterms:created>
  <dcterms:modified xsi:type="dcterms:W3CDTF">2018-01-24T17:52:15Z</dcterms:modified>
</cp:coreProperties>
</file>
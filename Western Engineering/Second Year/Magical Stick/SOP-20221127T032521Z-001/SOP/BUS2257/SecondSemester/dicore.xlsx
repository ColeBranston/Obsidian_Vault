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 showInkAnnotation="0"/>
  <mc:AlternateContent xmlns:mc="http://schemas.openxmlformats.org/markup-compatibility/2006">
    <mc:Choice Requires="x15">
      <x15ac:absPath xmlns:x15ac="http://schemas.microsoft.com/office/spreadsheetml/2010/11/ac" url="/Users/jacquelineyan/Desktop/CASEBOOK SOLUTIONS/"/>
    </mc:Choice>
  </mc:AlternateContent>
  <bookViews>
    <workbookView xWindow="0" yWindow="460" windowWidth="28800" windowHeight="167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3" i="1" l="1"/>
  <c r="I42" i="1"/>
  <c r="I38" i="1"/>
  <c r="C12" i="1"/>
  <c r="C13" i="1"/>
  <c r="C14" i="1"/>
  <c r="I32" i="1"/>
  <c r="C5" i="1"/>
  <c r="C15" i="1"/>
  <c r="I33" i="1"/>
  <c r="I34" i="1"/>
  <c r="I35" i="1"/>
  <c r="I37" i="1"/>
  <c r="I27" i="1"/>
  <c r="I6" i="1"/>
  <c r="I7" i="1"/>
  <c r="I8" i="1"/>
  <c r="I28" i="1"/>
  <c r="I29" i="1"/>
  <c r="C25" i="1"/>
  <c r="C27" i="1"/>
  <c r="C29" i="1"/>
  <c r="C30" i="1"/>
  <c r="C31" i="1"/>
  <c r="I18" i="1"/>
  <c r="I41" i="1"/>
  <c r="I12" i="1"/>
  <c r="I13" i="1"/>
  <c r="I21" i="1"/>
  <c r="I20" i="1"/>
  <c r="E30" i="1"/>
  <c r="E29" i="1"/>
  <c r="E14" i="1"/>
  <c r="E13" i="1"/>
  <c r="E12" i="1"/>
  <c r="E27" i="1"/>
  <c r="E25" i="1"/>
  <c r="E31" i="1"/>
  <c r="E5" i="1"/>
  <c r="E15" i="1"/>
  <c r="E16" i="1"/>
  <c r="E19" i="1"/>
  <c r="E21" i="1"/>
  <c r="E22" i="1"/>
  <c r="E34" i="1"/>
  <c r="E33" i="1"/>
  <c r="C16" i="1"/>
  <c r="C19" i="1"/>
  <c r="C21" i="1"/>
  <c r="C22" i="1"/>
  <c r="C34" i="1"/>
  <c r="C33" i="1"/>
</calcChain>
</file>

<file path=xl/sharedStrings.xml><?xml version="1.0" encoding="utf-8"?>
<sst xmlns="http://schemas.openxmlformats.org/spreadsheetml/2006/main" count="67" uniqueCount="46">
  <si>
    <t>Differential Analysis</t>
  </si>
  <si>
    <t>Organic Growth</t>
  </si>
  <si>
    <t>Blackstone Acquisition</t>
  </si>
  <si>
    <t>Both</t>
  </si>
  <si>
    <t>Inflows:</t>
  </si>
  <si>
    <t>Outflows:</t>
  </si>
  <si>
    <t>Investments:</t>
  </si>
  <si>
    <t>TOTAL:</t>
  </si>
  <si>
    <t>Low (40%)</t>
  </si>
  <si>
    <t>High (55%)</t>
  </si>
  <si>
    <t>Drilling Revenue</t>
  </si>
  <si>
    <t>Transportation</t>
  </si>
  <si>
    <t>In-hole</t>
  </si>
  <si>
    <t>Vehicles</t>
  </si>
  <si>
    <t>Office stuff</t>
  </si>
  <si>
    <t>Drillers</t>
  </si>
  <si>
    <t>Assistants</t>
  </si>
  <si>
    <t>37*24*360*4*40%</t>
  </si>
  <si>
    <t>24*24*360*4*40%</t>
  </si>
  <si>
    <t>475*360*4*40%</t>
  </si>
  <si>
    <t>Foremen</t>
  </si>
  <si>
    <t>Consumables</t>
  </si>
  <si>
    <t>Mechanics</t>
  </si>
  <si>
    <t>Secretary + Admin</t>
  </si>
  <si>
    <t>Travel and Fringe</t>
  </si>
  <si>
    <t>Selling and Admin</t>
  </si>
  <si>
    <t>Net Cash Flow</t>
  </si>
  <si>
    <t>AP</t>
  </si>
  <si>
    <t>AR</t>
  </si>
  <si>
    <t>Payback</t>
  </si>
  <si>
    <t>ROI</t>
  </si>
  <si>
    <t>Cost of Acq</t>
  </si>
  <si>
    <t>Fees</t>
  </si>
  <si>
    <t>Revenues</t>
  </si>
  <si>
    <t>Depreciation</t>
  </si>
  <si>
    <t>Cap Ex</t>
  </si>
  <si>
    <t>Total Operating (5mos)</t>
  </si>
  <si>
    <t>Net Cash Flows</t>
  </si>
  <si>
    <t>Revenues - Organic</t>
  </si>
  <si>
    <t>Revenues - Blackstone</t>
  </si>
  <si>
    <t>Wages - O</t>
  </si>
  <si>
    <t>Consumables - O</t>
  </si>
  <si>
    <t>Salary - Manager</t>
  </si>
  <si>
    <t>Regional Manager</t>
  </si>
  <si>
    <t>TOTAL</t>
  </si>
  <si>
    <t>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</si>
</sst>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&quot;$&quot;* #,##0_-;\-&quot;$&quot;* #,##0_-;_-&quot;$&quot;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6" fontId="0" fillId="0" borderId="0" xfId="2" applyNumberFormat="1" applyFont="1" applyAlignment="1">
      <alignment horizontal="center"/>
    </xf>
    <xf numFmtId="166" fontId="0" fillId="0" borderId="0" xfId="2" applyNumberFormat="1" applyFont="1"/>
    <xf numFmtId="166" fontId="0" fillId="0" borderId="0" xfId="0" applyNumberForma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4" xfId="0" applyBorder="1" applyAlignment="1">
      <alignment horizontal="center"/>
    </xf>
    <xf numFmtId="166" fontId="0" fillId="0" borderId="5" xfId="2" applyNumberFormat="1" applyFont="1" applyBorder="1" applyAlignment="1">
      <alignment horizontal="center"/>
    </xf>
    <xf numFmtId="0" fontId="2" fillId="0" borderId="4" xfId="0" applyFont="1" applyBorder="1"/>
    <xf numFmtId="166" fontId="0" fillId="0" borderId="5" xfId="2" applyNumberFormat="1" applyFont="1" applyBorder="1"/>
    <xf numFmtId="0" fontId="0" fillId="0" borderId="4" xfId="0" applyBorder="1"/>
    <xf numFmtId="166" fontId="3" fillId="0" borderId="5" xfId="2" applyNumberFormat="1" applyFont="1" applyBorder="1"/>
    <xf numFmtId="0" fontId="0" fillId="0" borderId="4" xfId="0" applyFont="1" applyBorder="1"/>
    <xf numFmtId="166" fontId="2" fillId="0" borderId="5" xfId="2" applyNumberFormat="1" applyFont="1" applyBorder="1"/>
    <xf numFmtId="0" fontId="0" fillId="0" borderId="5" xfId="0" applyBorder="1"/>
    <xf numFmtId="166" fontId="3" fillId="0" borderId="5" xfId="0" applyNumberFormat="1" applyFont="1" applyBorder="1"/>
    <xf numFmtId="9" fontId="0" fillId="0" borderId="5" xfId="3" applyNumberFormat="1" applyFont="1" applyBorder="1"/>
    <xf numFmtId="0" fontId="0" fillId="0" borderId="6" xfId="0" applyBorder="1"/>
    <xf numFmtId="0" fontId="0" fillId="0" borderId="7" xfId="0" applyBorder="1"/>
    <xf numFmtId="165" fontId="0" fillId="0" borderId="8" xfId="1" applyFont="1" applyBorder="1"/>
    <xf numFmtId="166" fontId="0" fillId="0" borderId="0" xfId="2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0" xfId="2" applyNumberFormat="1" applyFont="1" applyBorder="1"/>
    <xf numFmtId="166" fontId="0" fillId="0" borderId="5" xfId="0" applyNumberFormat="1" applyBorder="1"/>
    <xf numFmtId="166" fontId="3" fillId="0" borderId="0" xfId="2" applyNumberFormat="1" applyFont="1" applyBorder="1"/>
    <xf numFmtId="9" fontId="0" fillId="0" borderId="0" xfId="3" applyFont="1" applyBorder="1"/>
    <xf numFmtId="9" fontId="0" fillId="0" borderId="5" xfId="3" applyFont="1" applyBorder="1"/>
    <xf numFmtId="165" fontId="0" fillId="0" borderId="7" xfId="1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workbookViewId="0">
      <selection sqref="A1:E34"/>
    </sheetView>
  </sheetViews>
  <sheetFormatPr baseColWidth="10" defaultRowHeight="16" x14ac:dyDescent="0.2"/>
  <cols>
    <col min="1" max="1" width="17.83203125" customWidth="1"/>
    <col min="2" max="2" width="20.6640625" customWidth="1"/>
    <col min="3" max="3" width="12.5" style="4" bestFit="1" customWidth="1"/>
    <col min="4" max="4" width="2" customWidth="1"/>
    <col min="5" max="5" width="13" style="5" bestFit="1" customWidth="1"/>
    <col min="7" max="7" width="17.33203125" customWidth="1"/>
    <col min="9" max="9" width="13.5" customWidth="1"/>
    <col min="10" max="10" width="11.33203125" style="4" bestFit="1" customWidth="1"/>
    <col min="11" max="11" width="12.33203125" customWidth="1"/>
    <col min="12" max="12" width="10.83203125" style="4"/>
    <col min="14" max="14" width="10.83203125" customWidth="1"/>
    <col min="16" max="16" width="10.83203125" style="4"/>
    <col min="17" max="17" width="12.5" customWidth="1"/>
    <col min="18" max="18" width="10.83203125" style="4"/>
  </cols>
  <sheetData>
    <row r="1" spans="1:18" x14ac:dyDescent="0.2">
      <c r="A1" s="32" t="s">
        <v>0</v>
      </c>
      <c r="B1" s="33"/>
      <c r="C1" s="33"/>
      <c r="D1" s="33"/>
      <c r="E1" s="34"/>
      <c r="G1" s="32" t="s">
        <v>0</v>
      </c>
      <c r="H1" s="33"/>
      <c r="I1" s="34"/>
      <c r="J1" s="6"/>
      <c r="K1" s="6"/>
      <c r="L1" s="6"/>
      <c r="N1" s="6"/>
      <c r="O1" s="6"/>
      <c r="P1" s="6"/>
      <c r="Q1" s="6"/>
      <c r="R1" s="6"/>
    </row>
    <row r="2" spans="1:18" x14ac:dyDescent="0.2">
      <c r="A2" s="35" t="s">
        <v>1</v>
      </c>
      <c r="B2" s="36"/>
      <c r="C2" s="36"/>
      <c r="D2" s="36"/>
      <c r="E2" s="37"/>
      <c r="G2" s="35" t="s">
        <v>2</v>
      </c>
      <c r="H2" s="36"/>
      <c r="I2" s="37"/>
      <c r="K2" s="6"/>
      <c r="L2" s="6"/>
      <c r="Q2" s="6"/>
      <c r="R2" s="6"/>
    </row>
    <row r="3" spans="1:18" x14ac:dyDescent="0.2">
      <c r="A3" s="10"/>
      <c r="B3" s="7"/>
      <c r="C3" s="24" t="s">
        <v>8</v>
      </c>
      <c r="D3" s="7"/>
      <c r="E3" s="25" t="s">
        <v>9</v>
      </c>
      <c r="G3" s="10"/>
      <c r="H3" s="7"/>
      <c r="I3" s="11"/>
      <c r="K3" s="1"/>
      <c r="L3" s="3"/>
      <c r="Q3" s="1"/>
      <c r="R3" s="3"/>
    </row>
    <row r="4" spans="1:18" x14ac:dyDescent="0.2">
      <c r="A4" s="12" t="s">
        <v>4</v>
      </c>
      <c r="B4" s="8"/>
      <c r="C4" s="26"/>
      <c r="D4" s="8"/>
      <c r="E4" s="27"/>
      <c r="G4" s="12" t="s">
        <v>4</v>
      </c>
      <c r="H4" s="8"/>
      <c r="I4" s="13"/>
    </row>
    <row r="5" spans="1:18" x14ac:dyDescent="0.2">
      <c r="A5" s="14" t="s">
        <v>10</v>
      </c>
      <c r="B5" s="8"/>
      <c r="C5" s="26">
        <f>1625000*4*0.4</f>
        <v>2600000</v>
      </c>
      <c r="D5" s="8"/>
      <c r="E5" s="27">
        <f>1625000*0.55*4</f>
        <v>3575000.0000000005</v>
      </c>
      <c r="G5" s="14" t="s">
        <v>33</v>
      </c>
      <c r="H5" s="8"/>
      <c r="I5" s="13">
        <v>976831</v>
      </c>
    </row>
    <row r="6" spans="1:18" ht="19" x14ac:dyDescent="0.35">
      <c r="A6" s="14"/>
      <c r="B6" s="8"/>
      <c r="C6" s="26"/>
      <c r="D6" s="8"/>
      <c r="E6" s="27"/>
      <c r="G6" s="14" t="s">
        <v>34</v>
      </c>
      <c r="H6" s="8"/>
      <c r="I6" s="15">
        <f>455180*9%</f>
        <v>40966.199999999997</v>
      </c>
    </row>
    <row r="7" spans="1:18" x14ac:dyDescent="0.2">
      <c r="A7" s="14"/>
      <c r="B7" s="8"/>
      <c r="C7" s="26"/>
      <c r="D7" s="8"/>
      <c r="E7" s="27"/>
      <c r="G7" s="14" t="s">
        <v>36</v>
      </c>
      <c r="H7" s="8"/>
      <c r="I7" s="13">
        <f>SUM(I5:I6)</f>
        <v>1017797.2</v>
      </c>
    </row>
    <row r="8" spans="1:18" x14ac:dyDescent="0.2">
      <c r="A8" s="14"/>
      <c r="B8" s="8"/>
      <c r="C8" s="26"/>
      <c r="D8" s="8"/>
      <c r="E8" s="27"/>
      <c r="G8" s="14" t="s">
        <v>7</v>
      </c>
      <c r="H8" s="8"/>
      <c r="I8" s="13">
        <f>(I7/5)*12</f>
        <v>2442713.2800000003</v>
      </c>
    </row>
    <row r="9" spans="1:18" x14ac:dyDescent="0.2">
      <c r="A9" s="14" t="s">
        <v>7</v>
      </c>
      <c r="B9" s="8"/>
      <c r="C9" s="26"/>
      <c r="D9" s="8"/>
      <c r="E9" s="27"/>
      <c r="G9" s="14"/>
      <c r="H9" s="8"/>
      <c r="I9" s="13"/>
    </row>
    <row r="10" spans="1:18" x14ac:dyDescent="0.2">
      <c r="A10" s="14"/>
      <c r="B10" s="8"/>
      <c r="C10" s="26"/>
      <c r="D10" s="8"/>
      <c r="E10" s="27"/>
      <c r="G10" s="12" t="s">
        <v>5</v>
      </c>
      <c r="H10" s="8"/>
      <c r="I10" s="13"/>
    </row>
    <row r="11" spans="1:18" ht="19" x14ac:dyDescent="0.35">
      <c r="A11" s="12" t="s">
        <v>5</v>
      </c>
      <c r="B11" s="8"/>
      <c r="C11" s="26"/>
      <c r="D11" s="8"/>
      <c r="E11" s="27"/>
      <c r="G11" s="14" t="s">
        <v>35</v>
      </c>
      <c r="H11" s="8"/>
      <c r="I11" s="15">
        <v>500000</v>
      </c>
    </row>
    <row r="12" spans="1:18" x14ac:dyDescent="0.2">
      <c r="A12" s="14" t="s">
        <v>15</v>
      </c>
      <c r="B12" s="8" t="s">
        <v>17</v>
      </c>
      <c r="C12" s="26">
        <f>37*24*360*4*40%</f>
        <v>511488</v>
      </c>
      <c r="D12" s="8"/>
      <c r="E12" s="13">
        <f>37*24*360*4*55%</f>
        <v>703296</v>
      </c>
      <c r="G12" s="14" t="s">
        <v>7</v>
      </c>
      <c r="H12" s="8"/>
      <c r="I12" s="13">
        <f>500000</f>
        <v>500000</v>
      </c>
    </row>
    <row r="13" spans="1:18" x14ac:dyDescent="0.2">
      <c r="A13" s="14" t="s">
        <v>16</v>
      </c>
      <c r="B13" s="8" t="s">
        <v>18</v>
      </c>
      <c r="C13" s="26">
        <f>24*24*360*4*40%</f>
        <v>331776</v>
      </c>
      <c r="D13" s="8"/>
      <c r="E13" s="13">
        <f>24*24*360*4*55%</f>
        <v>456192.00000000006</v>
      </c>
      <c r="G13" s="12" t="s">
        <v>37</v>
      </c>
      <c r="H13" s="8"/>
      <c r="I13" s="13">
        <f>I8-I12</f>
        <v>1942713.2800000003</v>
      </c>
    </row>
    <row r="14" spans="1:18" x14ac:dyDescent="0.2">
      <c r="A14" s="14" t="s">
        <v>20</v>
      </c>
      <c r="B14" s="8" t="s">
        <v>19</v>
      </c>
      <c r="C14" s="26">
        <f>475*360*4*40%</f>
        <v>273600</v>
      </c>
      <c r="D14" s="8"/>
      <c r="E14" s="13">
        <f>475*360*4*55%</f>
        <v>376200.00000000006</v>
      </c>
      <c r="G14" s="14"/>
      <c r="H14" s="8"/>
      <c r="I14" s="13"/>
    </row>
    <row r="15" spans="1:18" x14ac:dyDescent="0.2">
      <c r="A15" s="14" t="s">
        <v>21</v>
      </c>
      <c r="B15" s="8"/>
      <c r="C15" s="26">
        <f>C5*20%</f>
        <v>520000</v>
      </c>
      <c r="D15" s="8"/>
      <c r="E15" s="13">
        <f>E5*20%</f>
        <v>715000.00000000012</v>
      </c>
      <c r="G15" s="12" t="s">
        <v>6</v>
      </c>
      <c r="H15" s="8"/>
      <c r="I15" s="13"/>
    </row>
    <row r="16" spans="1:18" x14ac:dyDescent="0.2">
      <c r="A16" s="14" t="s">
        <v>22</v>
      </c>
      <c r="B16" s="8"/>
      <c r="C16" s="26">
        <f>2*100000</f>
        <v>200000</v>
      </c>
      <c r="D16" s="8"/>
      <c r="E16" s="13">
        <f>2*100000</f>
        <v>200000</v>
      </c>
      <c r="G16" s="14" t="s">
        <v>31</v>
      </c>
      <c r="H16" s="8"/>
      <c r="I16" s="13">
        <v>8200000</v>
      </c>
    </row>
    <row r="17" spans="1:9" ht="19" x14ac:dyDescent="0.35">
      <c r="A17" s="14" t="s">
        <v>23</v>
      </c>
      <c r="B17" s="8"/>
      <c r="C17" s="26">
        <v>90000</v>
      </c>
      <c r="D17" s="8"/>
      <c r="E17" s="13">
        <v>90000</v>
      </c>
      <c r="G17" s="14" t="s">
        <v>32</v>
      </c>
      <c r="H17" s="8"/>
      <c r="I17" s="15">
        <v>100000</v>
      </c>
    </row>
    <row r="18" spans="1:9" x14ac:dyDescent="0.2">
      <c r="A18" s="14" t="s">
        <v>43</v>
      </c>
      <c r="B18" s="8"/>
      <c r="C18" s="26">
        <v>150000</v>
      </c>
      <c r="D18" s="8"/>
      <c r="E18" s="13">
        <v>150000</v>
      </c>
      <c r="G18" s="14" t="s">
        <v>7</v>
      </c>
      <c r="H18" s="8"/>
      <c r="I18" s="13">
        <f>SUM(I16:I17)</f>
        <v>8300000</v>
      </c>
    </row>
    <row r="19" spans="1:9" x14ac:dyDescent="0.2">
      <c r="A19" s="14" t="s">
        <v>24</v>
      </c>
      <c r="B19" s="8"/>
      <c r="C19" s="26">
        <f>20%*(SUM(C16:C18))</f>
        <v>88000</v>
      </c>
      <c r="D19" s="8"/>
      <c r="E19" s="13">
        <f>20%*(SUM(E16:E18))</f>
        <v>88000</v>
      </c>
      <c r="G19" s="14"/>
      <c r="H19" s="8"/>
      <c r="I19" s="13"/>
    </row>
    <row r="20" spans="1:9" x14ac:dyDescent="0.2">
      <c r="A20" s="14" t="s">
        <v>25</v>
      </c>
      <c r="B20" s="8"/>
      <c r="C20" s="26">
        <v>65000</v>
      </c>
      <c r="D20" s="8"/>
      <c r="E20" s="13">
        <v>65000</v>
      </c>
      <c r="G20" s="14" t="s">
        <v>30</v>
      </c>
      <c r="H20" s="8"/>
      <c r="I20" s="20">
        <f>I13/I18</f>
        <v>0.23406184096385546</v>
      </c>
    </row>
    <row r="21" spans="1:9" ht="20" thickBot="1" x14ac:dyDescent="0.4">
      <c r="A21" s="14" t="s">
        <v>7</v>
      </c>
      <c r="B21" s="8"/>
      <c r="C21" s="28">
        <f>SUM(C12:C20)</f>
        <v>2229864</v>
      </c>
      <c r="D21" s="8"/>
      <c r="E21" s="15">
        <f>SUM(E12:E20)</f>
        <v>2843688</v>
      </c>
      <c r="G21" s="21" t="s">
        <v>29</v>
      </c>
      <c r="H21" s="22"/>
      <c r="I21" s="23">
        <f>I18/I13</f>
        <v>4.2723751803457066</v>
      </c>
    </row>
    <row r="22" spans="1:9" ht="17" thickBot="1" x14ac:dyDescent="0.25">
      <c r="A22" s="12" t="s">
        <v>26</v>
      </c>
      <c r="B22" s="8"/>
      <c r="C22" s="26">
        <f>C5-C21</f>
        <v>370136</v>
      </c>
      <c r="D22" s="8"/>
      <c r="E22" s="13">
        <f>E5-E21</f>
        <v>731312.00000000047</v>
      </c>
    </row>
    <row r="23" spans="1:9" x14ac:dyDescent="0.2">
      <c r="A23" s="14"/>
      <c r="B23" s="8"/>
      <c r="C23" s="26"/>
      <c r="D23" s="8"/>
      <c r="E23" s="27"/>
      <c r="G23" s="32" t="s">
        <v>0</v>
      </c>
      <c r="H23" s="33"/>
      <c r="I23" s="34"/>
    </row>
    <row r="24" spans="1:9" x14ac:dyDescent="0.2">
      <c r="A24" s="12" t="s">
        <v>6</v>
      </c>
      <c r="B24" s="8"/>
      <c r="C24" s="26"/>
      <c r="D24" s="8"/>
      <c r="E24" s="27"/>
      <c r="G24" s="35" t="s">
        <v>3</v>
      </c>
      <c r="H24" s="36"/>
      <c r="I24" s="37"/>
    </row>
    <row r="25" spans="1:9" x14ac:dyDescent="0.2">
      <c r="A25" s="14" t="s">
        <v>11</v>
      </c>
      <c r="B25" s="8"/>
      <c r="C25" s="26">
        <f>200000</f>
        <v>200000</v>
      </c>
      <c r="D25" s="8"/>
      <c r="E25" s="13">
        <f>200000</f>
        <v>200000</v>
      </c>
      <c r="G25" s="10"/>
      <c r="H25" s="7"/>
      <c r="I25" s="11"/>
    </row>
    <row r="26" spans="1:9" x14ac:dyDescent="0.2">
      <c r="A26" s="14" t="s">
        <v>12</v>
      </c>
      <c r="B26" s="8"/>
      <c r="C26" s="26">
        <v>400000</v>
      </c>
      <c r="D26" s="8"/>
      <c r="E26" s="13">
        <v>400000</v>
      </c>
      <c r="G26" s="12" t="s">
        <v>4</v>
      </c>
      <c r="H26" s="8"/>
      <c r="I26" s="13"/>
    </row>
    <row r="27" spans="1:9" x14ac:dyDescent="0.2">
      <c r="A27" s="14" t="s">
        <v>13</v>
      </c>
      <c r="B27" s="8"/>
      <c r="C27" s="26">
        <f>5*40000</f>
        <v>200000</v>
      </c>
      <c r="D27" s="8"/>
      <c r="E27" s="13">
        <f>5*40000</f>
        <v>200000</v>
      </c>
      <c r="G27" s="14" t="s">
        <v>38</v>
      </c>
      <c r="H27" s="8"/>
      <c r="I27" s="13">
        <f>C5</f>
        <v>2600000</v>
      </c>
    </row>
    <row r="28" spans="1:9" ht="19" x14ac:dyDescent="0.35">
      <c r="A28" s="14" t="s">
        <v>14</v>
      </c>
      <c r="B28" s="8"/>
      <c r="C28" s="26">
        <v>50000</v>
      </c>
      <c r="D28" s="8"/>
      <c r="E28" s="13">
        <v>50000</v>
      </c>
      <c r="G28" s="14" t="s">
        <v>39</v>
      </c>
      <c r="H28" s="8"/>
      <c r="I28" s="15">
        <f xml:space="preserve"> I8</f>
        <v>2442713.2800000003</v>
      </c>
    </row>
    <row r="29" spans="1:9" x14ac:dyDescent="0.2">
      <c r="A29" s="14" t="s">
        <v>27</v>
      </c>
      <c r="B29" s="8"/>
      <c r="C29" s="26">
        <f>-(520000/360)*45</f>
        <v>-64999.999999999993</v>
      </c>
      <c r="D29" s="8"/>
      <c r="E29" s="13">
        <f>-(715000/360)*45</f>
        <v>-89375</v>
      </c>
      <c r="G29" s="14" t="s">
        <v>7</v>
      </c>
      <c r="H29" s="8"/>
      <c r="I29" s="13">
        <f>SUM(I27:I28)</f>
        <v>5042713.28</v>
      </c>
    </row>
    <row r="30" spans="1:9" ht="19" x14ac:dyDescent="0.35">
      <c r="A30" s="14" t="s">
        <v>28</v>
      </c>
      <c r="B30" s="8"/>
      <c r="C30" s="28">
        <f>(2600000/360)*40</f>
        <v>288888.88888888888</v>
      </c>
      <c r="D30" s="8"/>
      <c r="E30" s="15">
        <f>(3575000/360)*40</f>
        <v>397222.22222222219</v>
      </c>
      <c r="G30" s="14"/>
      <c r="H30" s="8"/>
      <c r="I30" s="13"/>
    </row>
    <row r="31" spans="1:9" x14ac:dyDescent="0.2">
      <c r="A31" s="14" t="s">
        <v>7</v>
      </c>
      <c r="B31" s="8"/>
      <c r="C31" s="26">
        <f>SUM(C25:C30)</f>
        <v>1073888.888888889</v>
      </c>
      <c r="D31" s="8"/>
      <c r="E31" s="13">
        <f>SUM(E25:E30)</f>
        <v>1157847.2222222222</v>
      </c>
      <c r="G31" s="12" t="s">
        <v>5</v>
      </c>
      <c r="H31" s="8"/>
      <c r="I31" s="13"/>
    </row>
    <row r="32" spans="1:9" x14ac:dyDescent="0.2">
      <c r="A32" s="14"/>
      <c r="B32" s="8"/>
      <c r="C32" s="26"/>
      <c r="D32" s="8"/>
      <c r="E32" s="13"/>
      <c r="G32" s="14" t="s">
        <v>40</v>
      </c>
      <c r="H32" s="8"/>
      <c r="I32" s="13">
        <f>SUM(C12:C14)</f>
        <v>1116864</v>
      </c>
    </row>
    <row r="33" spans="1:9" x14ac:dyDescent="0.2">
      <c r="A33" s="14" t="s">
        <v>30</v>
      </c>
      <c r="B33" s="8"/>
      <c r="C33" s="29">
        <f>C22/C31</f>
        <v>0.34466880496637348</v>
      </c>
      <c r="D33" s="8"/>
      <c r="E33" s="30">
        <f>E22/E31</f>
        <v>0.63161355484915771</v>
      </c>
      <c r="G33" s="16" t="s">
        <v>41</v>
      </c>
      <c r="H33" s="8"/>
      <c r="I33" s="13">
        <f>C15</f>
        <v>520000</v>
      </c>
    </row>
    <row r="34" spans="1:9" ht="17" thickBot="1" x14ac:dyDescent="0.25">
      <c r="A34" s="21" t="s">
        <v>29</v>
      </c>
      <c r="B34" s="22"/>
      <c r="C34" s="31">
        <f>C31/C22</f>
        <v>2.9013359653989048</v>
      </c>
      <c r="D34" s="22"/>
      <c r="E34" s="23">
        <f>E31/E22</f>
        <v>1.5832465790554804</v>
      </c>
      <c r="G34" s="16" t="s">
        <v>42</v>
      </c>
      <c r="H34" s="8"/>
      <c r="I34" s="13">
        <f>C18</f>
        <v>150000</v>
      </c>
    </row>
    <row r="35" spans="1:9" x14ac:dyDescent="0.2">
      <c r="G35" s="16" t="s">
        <v>24</v>
      </c>
      <c r="H35" s="8"/>
      <c r="I35" s="13">
        <f>I34*20%</f>
        <v>30000</v>
      </c>
    </row>
    <row r="36" spans="1:9" ht="19" x14ac:dyDescent="0.35">
      <c r="G36" s="16" t="s">
        <v>35</v>
      </c>
      <c r="H36" s="8"/>
      <c r="I36" s="15">
        <v>500000</v>
      </c>
    </row>
    <row r="37" spans="1:9" ht="19" x14ac:dyDescent="0.35">
      <c r="G37" s="16" t="s">
        <v>44</v>
      </c>
      <c r="H37" s="8"/>
      <c r="I37" s="15">
        <f>SUM(I32:I36)</f>
        <v>2316864</v>
      </c>
    </row>
    <row r="38" spans="1:9" x14ac:dyDescent="0.2">
      <c r="G38" s="12" t="s">
        <v>37</v>
      </c>
      <c r="H38" s="9"/>
      <c r="I38" s="17">
        <f>I29-I37</f>
        <v>2725849.2800000003</v>
      </c>
    </row>
    <row r="39" spans="1:9" x14ac:dyDescent="0.2">
      <c r="G39" s="14"/>
      <c r="H39" s="8"/>
      <c r="I39" s="13"/>
    </row>
    <row r="40" spans="1:9" x14ac:dyDescent="0.2">
      <c r="G40" s="12" t="s">
        <v>45</v>
      </c>
      <c r="H40" s="8"/>
      <c r="I40" s="18"/>
    </row>
    <row r="41" spans="1:9" ht="19" x14ac:dyDescent="0.35">
      <c r="G41" s="14" t="s">
        <v>7</v>
      </c>
      <c r="H41" s="8"/>
      <c r="I41" s="19">
        <f>C31+I18</f>
        <v>9373888.8888888881</v>
      </c>
    </row>
    <row r="42" spans="1:9" x14ac:dyDescent="0.2">
      <c r="G42" s="14" t="s">
        <v>30</v>
      </c>
      <c r="H42" s="8"/>
      <c r="I42" s="20">
        <f>I38/I41</f>
        <v>0.29079172073727261</v>
      </c>
    </row>
    <row r="43" spans="1:9" ht="17" thickBot="1" x14ac:dyDescent="0.25">
      <c r="G43" s="21" t="s">
        <v>29</v>
      </c>
      <c r="H43" s="22"/>
      <c r="I43" s="23">
        <f>I41/I38</f>
        <v>3.4388874534137437</v>
      </c>
    </row>
    <row r="44" spans="1:9" x14ac:dyDescent="0.2">
      <c r="I44" s="4"/>
    </row>
    <row r="45" spans="1:9" x14ac:dyDescent="0.2">
      <c r="I45" s="4"/>
    </row>
    <row r="46" spans="1:9" x14ac:dyDescent="0.2">
      <c r="I46" s="4"/>
    </row>
    <row r="47" spans="1:9" x14ac:dyDescent="0.2">
      <c r="G47" s="2"/>
      <c r="I47" s="4"/>
    </row>
    <row r="48" spans="1:9" x14ac:dyDescent="0.2">
      <c r="I48" s="4"/>
    </row>
    <row r="49" spans="9:9" x14ac:dyDescent="0.2">
      <c r="I49" s="4"/>
    </row>
    <row r="50" spans="9:9" x14ac:dyDescent="0.2">
      <c r="I50" s="4"/>
    </row>
    <row r="51" spans="9:9" x14ac:dyDescent="0.2">
      <c r="I51" s="4"/>
    </row>
    <row r="52" spans="9:9" x14ac:dyDescent="0.2">
      <c r="I52" s="4"/>
    </row>
    <row r="53" spans="9:9" x14ac:dyDescent="0.2">
      <c r="I53" s="4"/>
    </row>
  </sheetData>
  <mergeCells count="6">
    <mergeCell ref="A1:E1"/>
    <mergeCell ref="A2:E2"/>
    <mergeCell ref="G2:I2"/>
    <mergeCell ref="G24:I24"/>
    <mergeCell ref="G1:I1"/>
    <mergeCell ref="G23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2017-04-09T05:34:43Z</dcterms:created>
  <dcterms:modified xsi:type="dcterms:W3CDTF">2018-03-28T14:11:23Z</dcterms:modified>
</cp:coreProperties>
</file>
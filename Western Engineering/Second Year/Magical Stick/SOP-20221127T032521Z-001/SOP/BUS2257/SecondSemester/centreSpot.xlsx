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Not Used\Biz 2257\Case ansers and review\"/>
    </mc:Choice>
  </mc:AlternateContent>
  <bookViews>
    <workbookView xWindow="0" yWindow="0" windowWidth="20490" windowHeight="7755" tabRatio="500"/>
  </bookViews>
  <sheets>
    <sheet name="Sheet1" sheetId="1" r:id="rId1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0" i="1" l="1"/>
  <c r="C23" i="1"/>
  <c r="C24" i="1"/>
  <c r="C25" i="1"/>
  <c r="H20" i="1"/>
  <c r="C26" i="1"/>
  <c r="C27" i="1"/>
  <c r="C28" i="1"/>
  <c r="C29" i="1"/>
  <c r="C30" i="1"/>
  <c r="C31" i="1"/>
  <c r="C32" i="1"/>
  <c r="C34" i="1"/>
  <c r="C35" i="1"/>
  <c r="C36" i="1"/>
  <c r="C37" i="1"/>
  <c r="C39" i="1"/>
  <c r="D20" i="1"/>
  <c r="D23" i="1"/>
  <c r="D24" i="1"/>
  <c r="D25" i="1"/>
  <c r="D26" i="1"/>
  <c r="D27" i="1"/>
  <c r="D28" i="1"/>
  <c r="D29" i="1"/>
  <c r="D30" i="1"/>
  <c r="D31" i="1"/>
  <c r="D32" i="1"/>
  <c r="D34" i="1"/>
  <c r="D35" i="1"/>
  <c r="D36" i="1"/>
  <c r="D37" i="1"/>
  <c r="D39" i="1"/>
  <c r="E20" i="1"/>
  <c r="E23" i="1"/>
  <c r="E24" i="1"/>
  <c r="E25" i="1"/>
  <c r="E26" i="1"/>
  <c r="E27" i="1"/>
  <c r="E28" i="1"/>
  <c r="E29" i="1"/>
  <c r="E30" i="1"/>
  <c r="E31" i="1"/>
  <c r="E32" i="1"/>
  <c r="E34" i="1"/>
  <c r="E35" i="1"/>
  <c r="E36" i="1"/>
  <c r="E37" i="1"/>
  <c r="E39" i="1"/>
  <c r="F20" i="1"/>
  <c r="F23" i="1"/>
  <c r="F24" i="1"/>
  <c r="F25" i="1"/>
  <c r="F26" i="1"/>
  <c r="F27" i="1"/>
  <c r="F28" i="1"/>
  <c r="F29" i="1"/>
  <c r="F30" i="1"/>
  <c r="F31" i="1"/>
  <c r="F32" i="1"/>
  <c r="F34" i="1"/>
  <c r="F35" i="1"/>
  <c r="F36" i="1"/>
  <c r="F37" i="1"/>
  <c r="F39" i="1"/>
  <c r="G20" i="1"/>
  <c r="G23" i="1"/>
  <c r="G24" i="1"/>
  <c r="G25" i="1"/>
  <c r="G26" i="1"/>
  <c r="G27" i="1"/>
  <c r="G28" i="1"/>
  <c r="G29" i="1"/>
  <c r="G30" i="1"/>
  <c r="G31" i="1"/>
  <c r="G32" i="1"/>
  <c r="G34" i="1"/>
  <c r="G35" i="1"/>
  <c r="G36" i="1"/>
  <c r="G37" i="1"/>
  <c r="G39" i="1"/>
  <c r="H23" i="1"/>
  <c r="H24" i="1"/>
  <c r="H25" i="1"/>
  <c r="H26" i="1"/>
  <c r="H27" i="1"/>
  <c r="H28" i="1"/>
  <c r="H29" i="1"/>
  <c r="H30" i="1"/>
  <c r="H31" i="1"/>
  <c r="H32" i="1"/>
  <c r="H34" i="1"/>
  <c r="H35" i="1"/>
  <c r="H36" i="1"/>
  <c r="H37" i="1"/>
  <c r="H39" i="1"/>
  <c r="I20" i="1"/>
  <c r="I23" i="1"/>
  <c r="I24" i="1"/>
  <c r="I25" i="1"/>
  <c r="I26" i="1"/>
  <c r="I29" i="1"/>
  <c r="I33" i="1"/>
  <c r="I36" i="1"/>
  <c r="I37" i="1"/>
  <c r="I39" i="1"/>
  <c r="J39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3" i="1"/>
  <c r="J20" i="1"/>
  <c r="B37" i="1"/>
  <c r="B39" i="1"/>
</calcChain>
</file>

<file path=xl/sharedStrings.xml><?xml version="1.0" encoding="utf-8"?>
<sst xmlns="http://schemas.openxmlformats.org/spreadsheetml/2006/main" count="45" uniqueCount="45">
  <si>
    <t>Revenue</t>
  </si>
  <si>
    <t>Net Sales</t>
  </si>
  <si>
    <t>Expenses</t>
  </si>
  <si>
    <t>Food and Beverages</t>
  </si>
  <si>
    <t>Salaries and Benefits</t>
  </si>
  <si>
    <t>Franchise Royalties</t>
  </si>
  <si>
    <t>Special Paper Supplies</t>
  </si>
  <si>
    <t>Newspapers</t>
  </si>
  <si>
    <t>Equip. Rental</t>
  </si>
  <si>
    <t>Equip. Maintenance</t>
  </si>
  <si>
    <t>Advertising and Promo</t>
  </si>
  <si>
    <t>Printing and Duplicating</t>
  </si>
  <si>
    <t>Miscellaneous Supplies</t>
  </si>
  <si>
    <t>Telephone Expenses</t>
  </si>
  <si>
    <t>Counselling - Health Edu</t>
  </si>
  <si>
    <t>cash over/short</t>
  </si>
  <si>
    <t>Occupancy</t>
  </si>
  <si>
    <t>Total Expenses</t>
  </si>
  <si>
    <t>Net Income</t>
  </si>
  <si>
    <t>Harvey's</t>
  </si>
  <si>
    <t>Manchu Wok</t>
  </si>
  <si>
    <t>Mr. Sub</t>
  </si>
  <si>
    <t>Pita Pit</t>
  </si>
  <si>
    <t>Pizza Pizza</t>
  </si>
  <si>
    <t>Tim Hortons</t>
  </si>
  <si>
    <t>Miscellaneous</t>
  </si>
  <si>
    <t>Check</t>
  </si>
  <si>
    <t>2. Analyse the profitability of each restaurant in Centre Spot.  Are there any restaurants causing the low profit? If so, which one(s)?</t>
  </si>
  <si>
    <t>Centre Spot</t>
  </si>
  <si>
    <t>1. Analyse the consumers of Centre Spot. What are the most important issues Hospitality Services should consider?</t>
  </si>
  <si>
    <t>Students</t>
  </si>
  <si>
    <t>Looking for fast service, average of 20 minutes to serve customer</t>
  </si>
  <si>
    <t>30,400 students, 86% F/T</t>
  </si>
  <si>
    <t>Lunch time rush 11 am – 2 pm</t>
  </si>
  <si>
    <t>Friendly Service</t>
  </si>
  <si>
    <t>Fresh Ingredients</t>
  </si>
  <si>
    <t>Low Price (not as important)</t>
  </si>
  <si>
    <t>Staff</t>
  </si>
  <si>
    <t>3,150 faculty and staff employed</t>
  </si>
  <si>
    <t>Lunch breaks tend to be scheduled during lunch time rush</t>
  </si>
  <si>
    <t xml:space="preserve">Fast service, but tend to have more time than students </t>
  </si>
  <si>
    <t>Friendly service</t>
  </si>
  <si>
    <t>Prefer locations close to offices</t>
  </si>
  <si>
    <t>Convenience and Accessibility</t>
  </si>
  <si>
    <t>Prefer meals that resemble something home cooked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</si>
</sst>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mbria"/>
    </font>
    <font>
      <b/>
      <sz val="12"/>
      <color theme="1"/>
      <name val="Cambria"/>
    </font>
    <font>
      <b/>
      <sz val="14"/>
      <color theme="1"/>
      <name val="Cambria"/>
    </font>
    <font>
      <b/>
      <sz val="14"/>
      <color theme="1"/>
      <name val="Calibri"/>
      <family val="2"/>
      <scheme val="minor"/>
    </font>
    <font>
      <b/>
      <sz val="2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/>
    <xf numFmtId="0" fontId="7" fillId="0" borderId="0" xfId="0" applyFont="1" applyAlignment="1">
      <alignment vertical="center"/>
    </xf>
    <xf numFmtId="0" fontId="8" fillId="0" borderId="0" xfId="0" applyFont="1"/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3" fontId="0" fillId="0" borderId="2" xfId="0" applyNumberFormat="1" applyBorder="1"/>
    <xf numFmtId="165" fontId="0" fillId="0" borderId="2" xfId="1" applyNumberFormat="1" applyFont="1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1" xfId="0" applyFont="1" applyBorder="1" applyAlignment="1">
      <alignment horizontal="center"/>
    </xf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workbookViewId="0">
      <selection activeCell="A14" sqref="A14"/>
    </sheetView>
  </sheetViews>
  <sheetFormatPr defaultColWidth="11" defaultRowHeight="15.75" x14ac:dyDescent="0.25"/>
  <cols>
    <col min="1" max="1" width="22.375" customWidth="1"/>
    <col min="2" max="2" width="15.5" customWidth="1"/>
    <col min="3" max="3" width="11.5" bestFit="1" customWidth="1"/>
    <col min="4" max="4" width="13" customWidth="1"/>
    <col min="5" max="7" width="11.5" bestFit="1" customWidth="1"/>
    <col min="8" max="8" width="13.625" customWidth="1"/>
    <col min="9" max="9" width="14" customWidth="1"/>
  </cols>
  <sheetData>
    <row r="1" spans="1:10" ht="27" thickBot="1" x14ac:dyDescent="0.45">
      <c r="A1" s="14" t="s">
        <v>28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18" x14ac:dyDescent="0.25">
      <c r="A3" s="2" t="s">
        <v>29</v>
      </c>
    </row>
    <row r="5" spans="1:10" x14ac:dyDescent="0.25">
      <c r="A5" s="10" t="s">
        <v>30</v>
      </c>
      <c r="B5" s="10"/>
      <c r="C5" s="10"/>
      <c r="D5" s="10"/>
      <c r="E5" s="11" t="s">
        <v>37</v>
      </c>
      <c r="F5" s="11"/>
      <c r="G5" s="11"/>
      <c r="H5" s="11"/>
      <c r="I5" s="11"/>
    </row>
    <row r="6" spans="1:10" x14ac:dyDescent="0.25">
      <c r="A6" s="12" t="s">
        <v>32</v>
      </c>
      <c r="B6" s="12"/>
      <c r="C6" s="12"/>
      <c r="D6" s="12"/>
      <c r="E6" s="12" t="s">
        <v>38</v>
      </c>
      <c r="F6" s="12"/>
      <c r="G6" s="12"/>
      <c r="H6" s="12"/>
      <c r="I6" s="12"/>
    </row>
    <row r="7" spans="1:10" x14ac:dyDescent="0.25">
      <c r="A7" s="12" t="s">
        <v>31</v>
      </c>
      <c r="B7" s="12"/>
      <c r="C7" s="12"/>
      <c r="D7" s="12"/>
      <c r="E7" s="12" t="s">
        <v>40</v>
      </c>
      <c r="F7" s="12"/>
      <c r="G7" s="12"/>
      <c r="H7" s="12"/>
      <c r="I7" s="12"/>
    </row>
    <row r="8" spans="1:10" x14ac:dyDescent="0.25">
      <c r="A8" s="12" t="s">
        <v>33</v>
      </c>
      <c r="B8" s="12"/>
      <c r="C8" s="12"/>
      <c r="D8" s="12"/>
      <c r="E8" s="13" t="s">
        <v>39</v>
      </c>
      <c r="F8" s="13"/>
      <c r="G8" s="13"/>
      <c r="H8" s="13"/>
      <c r="I8" s="13"/>
    </row>
    <row r="9" spans="1:10" x14ac:dyDescent="0.25">
      <c r="A9" s="12" t="s">
        <v>34</v>
      </c>
      <c r="B9" s="12"/>
      <c r="C9" s="12"/>
      <c r="D9" s="12"/>
      <c r="E9" s="12" t="s">
        <v>41</v>
      </c>
      <c r="F9" s="12"/>
      <c r="G9" s="12"/>
      <c r="H9" s="12"/>
      <c r="I9" s="12"/>
    </row>
    <row r="10" spans="1:10" x14ac:dyDescent="0.25">
      <c r="A10" s="12" t="s">
        <v>35</v>
      </c>
      <c r="B10" s="12"/>
      <c r="C10" s="12"/>
      <c r="D10" s="12"/>
      <c r="E10" s="12" t="s">
        <v>43</v>
      </c>
      <c r="F10" s="12"/>
      <c r="G10" s="12"/>
      <c r="H10" s="12"/>
      <c r="I10" s="12"/>
    </row>
    <row r="11" spans="1:10" x14ac:dyDescent="0.25">
      <c r="A11" s="12" t="s">
        <v>36</v>
      </c>
      <c r="B11" s="12"/>
      <c r="C11" s="12"/>
      <c r="D11" s="12"/>
      <c r="E11" s="13" t="s">
        <v>42</v>
      </c>
      <c r="F11" s="13"/>
      <c r="G11" s="13"/>
      <c r="H11" s="13"/>
      <c r="I11" s="13"/>
    </row>
    <row r="12" spans="1:10" x14ac:dyDescent="0.25">
      <c r="A12" s="9"/>
      <c r="B12" s="9"/>
      <c r="C12" s="9"/>
      <c r="D12" s="9"/>
      <c r="E12" s="12" t="s">
        <v>44</v>
      </c>
      <c r="F12" s="12"/>
      <c r="G12" s="12"/>
      <c r="H12" s="12"/>
      <c r="I12" s="12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 x14ac:dyDescent="0.3">
      <c r="A16" s="2" t="s">
        <v>27</v>
      </c>
      <c r="B16" s="3"/>
      <c r="C16" s="3"/>
      <c r="D16" s="3"/>
      <c r="E16" s="3"/>
      <c r="F16" s="3"/>
      <c r="G16" s="3"/>
      <c r="H16" s="3"/>
    </row>
    <row r="18" spans="1:10" x14ac:dyDescent="0.25">
      <c r="A18" s="4"/>
      <c r="B18" s="4"/>
      <c r="C18" s="5" t="s">
        <v>19</v>
      </c>
      <c r="D18" s="5" t="s">
        <v>20</v>
      </c>
      <c r="E18" s="5" t="s">
        <v>21</v>
      </c>
      <c r="F18" s="5" t="s">
        <v>22</v>
      </c>
      <c r="G18" s="5" t="s">
        <v>23</v>
      </c>
      <c r="H18" s="5" t="s">
        <v>24</v>
      </c>
      <c r="I18" s="5" t="s">
        <v>25</v>
      </c>
      <c r="J18" s="5" t="s">
        <v>26</v>
      </c>
    </row>
    <row r="19" spans="1:10" x14ac:dyDescent="0.25">
      <c r="A19" s="6" t="s">
        <v>0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5">
      <c r="A20" s="4" t="s">
        <v>1</v>
      </c>
      <c r="B20" s="7">
        <v>1875311</v>
      </c>
      <c r="C20" s="8">
        <f>B20*0.164</f>
        <v>307551.00400000002</v>
      </c>
      <c r="D20" s="8">
        <f>B20*0.115</f>
        <v>215660.76500000001</v>
      </c>
      <c r="E20" s="8">
        <f>B20*0.058</f>
        <v>108768.038</v>
      </c>
      <c r="F20" s="8">
        <f>B20*0.103</f>
        <v>193157.033</v>
      </c>
      <c r="G20" s="8">
        <f>B20*0.061</f>
        <v>114393.97099999999</v>
      </c>
      <c r="H20" s="8">
        <f>B20*0.2</f>
        <v>375062.2</v>
      </c>
      <c r="I20" s="8">
        <f>B20*0.299</f>
        <v>560717.98899999994</v>
      </c>
      <c r="J20" s="4">
        <f>SUM(C20:I20)</f>
        <v>1875311</v>
      </c>
    </row>
    <row r="21" spans="1:10" x14ac:dyDescent="0.25">
      <c r="A21" s="4"/>
      <c r="B21" s="7"/>
      <c r="C21" s="4"/>
      <c r="D21" s="4"/>
      <c r="E21" s="4"/>
      <c r="F21" s="4"/>
      <c r="G21" s="4"/>
      <c r="H21" s="4"/>
      <c r="I21" s="4"/>
      <c r="J21" s="4"/>
    </row>
    <row r="22" spans="1:10" x14ac:dyDescent="0.25">
      <c r="A22" s="6" t="s">
        <v>2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25">
      <c r="A23" s="4" t="s">
        <v>3</v>
      </c>
      <c r="B23" s="7">
        <v>798419</v>
      </c>
      <c r="C23" s="8">
        <f>C20*0.375</f>
        <v>115331.62650000001</v>
      </c>
      <c r="D23" s="8">
        <f>D20*0.388</f>
        <v>83676.376820000005</v>
      </c>
      <c r="E23" s="8">
        <f>E20*0.4</f>
        <v>43507.215200000006</v>
      </c>
      <c r="F23" s="8">
        <f>F20*0.412</f>
        <v>79580.697595999998</v>
      </c>
      <c r="G23" s="8">
        <f>G20*0.338</f>
        <v>38665.162197999998</v>
      </c>
      <c r="H23" s="8">
        <f>H20*0.388</f>
        <v>145524.1336</v>
      </c>
      <c r="I23" s="8">
        <f>I20*0.521</f>
        <v>292134.072269</v>
      </c>
      <c r="J23" s="8">
        <f>SUM(C23:I23)</f>
        <v>798419.28418299998</v>
      </c>
    </row>
    <row r="24" spans="1:10" x14ac:dyDescent="0.25">
      <c r="A24" s="4" t="s">
        <v>4</v>
      </c>
      <c r="B24" s="7">
        <v>774027</v>
      </c>
      <c r="C24" s="8">
        <f>C20*0.428</f>
        <v>131631.82971200001</v>
      </c>
      <c r="D24" s="8">
        <f>D20*0.304</f>
        <v>65560.872560000003</v>
      </c>
      <c r="E24" s="8">
        <f>E20*0.38</f>
        <v>41331.854440000003</v>
      </c>
      <c r="F24" s="8">
        <f>F20*0.44</f>
        <v>84989.094519999999</v>
      </c>
      <c r="G24" s="8">
        <f>G20*0.304</f>
        <v>34775.767183999997</v>
      </c>
      <c r="H24" s="8">
        <f>H20*0.346</f>
        <v>129771.52119999999</v>
      </c>
      <c r="I24" s="8">
        <f>I20*0.51</f>
        <v>285966.17439</v>
      </c>
      <c r="J24" s="8">
        <f t="shared" ref="J24:J37" si="0">SUM(C24:I24)</f>
        <v>774027.11400600011</v>
      </c>
    </row>
    <row r="25" spans="1:10" x14ac:dyDescent="0.25">
      <c r="A25" s="4" t="s">
        <v>5</v>
      </c>
      <c r="B25" s="7">
        <v>76185</v>
      </c>
      <c r="C25" s="8">
        <f>C20*0.07</f>
        <v>21528.570280000004</v>
      </c>
      <c r="D25" s="8">
        <f>D20*0.05</f>
        <v>10783.038250000001</v>
      </c>
      <c r="E25" s="8">
        <f>E20*0.04</f>
        <v>4350.7215200000001</v>
      </c>
      <c r="F25" s="8">
        <f>F20*0.045</f>
        <v>8692.0664849999994</v>
      </c>
      <c r="G25" s="8">
        <f>G20*0.04</f>
        <v>4575.7588399999995</v>
      </c>
      <c r="H25" s="8">
        <f>H20*0.07</f>
        <v>26254.354000000003</v>
      </c>
      <c r="I25" s="8">
        <f>I20*0</f>
        <v>0</v>
      </c>
      <c r="J25" s="8">
        <f t="shared" si="0"/>
        <v>76184.509375000009</v>
      </c>
    </row>
    <row r="26" spans="1:10" x14ac:dyDescent="0.25">
      <c r="A26" s="4" t="s">
        <v>6</v>
      </c>
      <c r="B26" s="7">
        <v>81340</v>
      </c>
      <c r="C26" s="8">
        <f>(C20/($B$20-$H$20))*($B$26*0.5)</f>
        <v>8337.35</v>
      </c>
      <c r="D26" s="8">
        <f t="shared" ref="D26:G26" si="1">(D20/($B$20-$H$20))*($B$26*0.5)</f>
        <v>5846.3125000000009</v>
      </c>
      <c r="E26" s="8">
        <f t="shared" si="1"/>
        <v>2948.5749999999998</v>
      </c>
      <c r="F26" s="8">
        <f t="shared" si="1"/>
        <v>5236.2624999999998</v>
      </c>
      <c r="G26" s="8">
        <f t="shared" si="1"/>
        <v>3101.0874999999992</v>
      </c>
      <c r="H26" s="8">
        <f>B26*0.5</f>
        <v>40670</v>
      </c>
      <c r="I26" s="8">
        <f>(I20/($B$20-$H$20))*($B$26*0.5)</f>
        <v>15200.412499999999</v>
      </c>
      <c r="J26" s="8">
        <f t="shared" si="0"/>
        <v>81340</v>
      </c>
    </row>
    <row r="27" spans="1:10" x14ac:dyDescent="0.25">
      <c r="A27" s="4" t="s">
        <v>7</v>
      </c>
      <c r="B27" s="7">
        <v>3346</v>
      </c>
      <c r="C27" s="8">
        <f>$B$27/6</f>
        <v>557.66666666666663</v>
      </c>
      <c r="D27" s="8">
        <f t="shared" ref="D27:H27" si="2">$B$27/6</f>
        <v>557.66666666666663</v>
      </c>
      <c r="E27" s="8">
        <f t="shared" si="2"/>
        <v>557.66666666666663</v>
      </c>
      <c r="F27" s="8">
        <f t="shared" si="2"/>
        <v>557.66666666666663</v>
      </c>
      <c r="G27" s="8">
        <f t="shared" si="2"/>
        <v>557.66666666666663</v>
      </c>
      <c r="H27" s="8">
        <f t="shared" si="2"/>
        <v>557.66666666666663</v>
      </c>
      <c r="I27" s="8"/>
      <c r="J27" s="8">
        <f t="shared" si="0"/>
        <v>3345.9999999999995</v>
      </c>
    </row>
    <row r="28" spans="1:10" x14ac:dyDescent="0.25">
      <c r="A28" s="4" t="s">
        <v>8</v>
      </c>
      <c r="B28" s="7">
        <v>9277</v>
      </c>
      <c r="C28" s="8">
        <f>$B$28/6</f>
        <v>1546.1666666666667</v>
      </c>
      <c r="D28" s="8">
        <f t="shared" ref="D28:H28" si="3">$B$28/6</f>
        <v>1546.1666666666667</v>
      </c>
      <c r="E28" s="8">
        <f t="shared" si="3"/>
        <v>1546.1666666666667</v>
      </c>
      <c r="F28" s="8">
        <f t="shared" si="3"/>
        <v>1546.1666666666667</v>
      </c>
      <c r="G28" s="8">
        <f t="shared" si="3"/>
        <v>1546.1666666666667</v>
      </c>
      <c r="H28" s="8">
        <f t="shared" si="3"/>
        <v>1546.1666666666667</v>
      </c>
      <c r="I28" s="8"/>
      <c r="J28" s="8">
        <f t="shared" si="0"/>
        <v>9277</v>
      </c>
    </row>
    <row r="29" spans="1:10" x14ac:dyDescent="0.25">
      <c r="A29" s="4" t="s">
        <v>9</v>
      </c>
      <c r="B29" s="7">
        <v>12605</v>
      </c>
      <c r="C29" s="8">
        <f>$B$29*(8/50)</f>
        <v>2016.8</v>
      </c>
      <c r="D29" s="8">
        <f>$B$29*(6/50)</f>
        <v>1512.6</v>
      </c>
      <c r="E29" s="8">
        <f>$B$29*(10/50)</f>
        <v>2521</v>
      </c>
      <c r="F29" s="8">
        <f>$B$29*(2/50)</f>
        <v>504.2</v>
      </c>
      <c r="G29" s="8">
        <f>$B$29*(7/50)</f>
        <v>1764.7000000000003</v>
      </c>
      <c r="H29" s="8">
        <f>$B$29*(7/50)</f>
        <v>1764.7000000000003</v>
      </c>
      <c r="I29" s="8">
        <f>$B$29*(10/50)</f>
        <v>2521</v>
      </c>
      <c r="J29" s="8">
        <f t="shared" si="0"/>
        <v>12605</v>
      </c>
    </row>
    <row r="30" spans="1:10" x14ac:dyDescent="0.25">
      <c r="A30" s="4" t="s">
        <v>10</v>
      </c>
      <c r="B30" s="7">
        <v>720</v>
      </c>
      <c r="C30" s="8">
        <f>$B$30/6</f>
        <v>120</v>
      </c>
      <c r="D30" s="8">
        <f t="shared" ref="D30:H30" si="4">$B$30/6</f>
        <v>120</v>
      </c>
      <c r="E30" s="8">
        <f t="shared" si="4"/>
        <v>120</v>
      </c>
      <c r="F30" s="8">
        <f t="shared" si="4"/>
        <v>120</v>
      </c>
      <c r="G30" s="8">
        <f t="shared" si="4"/>
        <v>120</v>
      </c>
      <c r="H30" s="8">
        <f t="shared" si="4"/>
        <v>120</v>
      </c>
      <c r="I30" s="8"/>
      <c r="J30" s="8">
        <f t="shared" si="0"/>
        <v>720</v>
      </c>
    </row>
    <row r="31" spans="1:10" x14ac:dyDescent="0.25">
      <c r="A31" s="4" t="s">
        <v>11</v>
      </c>
      <c r="B31" s="7">
        <v>273</v>
      </c>
      <c r="C31" s="8">
        <f>$B$31/6</f>
        <v>45.5</v>
      </c>
      <c r="D31" s="8">
        <f t="shared" ref="D31:H31" si="5">$B$31/6</f>
        <v>45.5</v>
      </c>
      <c r="E31" s="8">
        <f t="shared" si="5"/>
        <v>45.5</v>
      </c>
      <c r="F31" s="8">
        <f t="shared" si="5"/>
        <v>45.5</v>
      </c>
      <c r="G31" s="8">
        <f t="shared" si="5"/>
        <v>45.5</v>
      </c>
      <c r="H31" s="8">
        <f t="shared" si="5"/>
        <v>45.5</v>
      </c>
      <c r="I31" s="8"/>
      <c r="J31" s="8">
        <f t="shared" si="0"/>
        <v>273</v>
      </c>
    </row>
    <row r="32" spans="1:10" x14ac:dyDescent="0.25">
      <c r="A32" s="4" t="s">
        <v>12</v>
      </c>
      <c r="B32" s="7">
        <v>28548</v>
      </c>
      <c r="C32" s="8">
        <f>$B$32/6</f>
        <v>4758</v>
      </c>
      <c r="D32" s="8">
        <f t="shared" ref="D32:H32" si="6">$B$32/6</f>
        <v>4758</v>
      </c>
      <c r="E32" s="8">
        <f t="shared" si="6"/>
        <v>4758</v>
      </c>
      <c r="F32" s="8">
        <f t="shared" si="6"/>
        <v>4758</v>
      </c>
      <c r="G32" s="8">
        <f t="shared" si="6"/>
        <v>4758</v>
      </c>
      <c r="H32" s="8">
        <f t="shared" si="6"/>
        <v>4758</v>
      </c>
      <c r="I32" s="8"/>
      <c r="J32" s="8">
        <f t="shared" si="0"/>
        <v>28548</v>
      </c>
    </row>
    <row r="33" spans="1:10" x14ac:dyDescent="0.25">
      <c r="A33" s="4" t="s">
        <v>13</v>
      </c>
      <c r="B33" s="7">
        <v>2066</v>
      </c>
      <c r="C33" s="8"/>
      <c r="D33" s="8"/>
      <c r="E33" s="8"/>
      <c r="F33" s="8"/>
      <c r="G33" s="8"/>
      <c r="H33" s="8"/>
      <c r="I33" s="8">
        <f>B33</f>
        <v>2066</v>
      </c>
      <c r="J33" s="8">
        <f t="shared" si="0"/>
        <v>2066</v>
      </c>
    </row>
    <row r="34" spans="1:10" x14ac:dyDescent="0.25">
      <c r="A34" s="4" t="s">
        <v>14</v>
      </c>
      <c r="B34" s="7">
        <v>899</v>
      </c>
      <c r="C34" s="8">
        <f>$B$34/6</f>
        <v>149.83333333333334</v>
      </c>
      <c r="D34" s="8">
        <f t="shared" ref="D34:H34" si="7">$B$34/6</f>
        <v>149.83333333333334</v>
      </c>
      <c r="E34" s="8">
        <f t="shared" si="7"/>
        <v>149.83333333333334</v>
      </c>
      <c r="F34" s="8">
        <f t="shared" si="7"/>
        <v>149.83333333333334</v>
      </c>
      <c r="G34" s="8">
        <f t="shared" si="7"/>
        <v>149.83333333333334</v>
      </c>
      <c r="H34" s="8">
        <f t="shared" si="7"/>
        <v>149.83333333333334</v>
      </c>
      <c r="I34" s="8"/>
      <c r="J34" s="8">
        <f t="shared" si="0"/>
        <v>899.00000000000011</v>
      </c>
    </row>
    <row r="35" spans="1:10" x14ac:dyDescent="0.25">
      <c r="A35" s="4" t="s">
        <v>15</v>
      </c>
      <c r="B35" s="7">
        <v>52</v>
      </c>
      <c r="C35" s="8">
        <f>$B35/6</f>
        <v>8.6666666666666661</v>
      </c>
      <c r="D35" s="8">
        <f t="shared" ref="D35:H35" si="8">$B35/6</f>
        <v>8.6666666666666661</v>
      </c>
      <c r="E35" s="8">
        <f t="shared" si="8"/>
        <v>8.6666666666666661</v>
      </c>
      <c r="F35" s="8">
        <f t="shared" si="8"/>
        <v>8.6666666666666661</v>
      </c>
      <c r="G35" s="8">
        <f t="shared" si="8"/>
        <v>8.6666666666666661</v>
      </c>
      <c r="H35" s="8">
        <f t="shared" si="8"/>
        <v>8.6666666666666661</v>
      </c>
      <c r="I35" s="8"/>
      <c r="J35" s="8">
        <f t="shared" si="0"/>
        <v>51.999999999999993</v>
      </c>
    </row>
    <row r="36" spans="1:10" x14ac:dyDescent="0.25">
      <c r="A36" s="4" t="s">
        <v>16</v>
      </c>
      <c r="B36" s="7">
        <v>84236</v>
      </c>
      <c r="C36" s="8">
        <f>B36*0.164</f>
        <v>13814.704</v>
      </c>
      <c r="D36" s="8">
        <f>B36*0.115</f>
        <v>9687.1400000000012</v>
      </c>
      <c r="E36" s="8">
        <f>B36*0.058</f>
        <v>4885.6880000000001</v>
      </c>
      <c r="F36" s="8">
        <f>B36*0.103</f>
        <v>8676.3079999999991</v>
      </c>
      <c r="G36" s="8">
        <f>B36*0.061</f>
        <v>5138.3959999999997</v>
      </c>
      <c r="H36" s="8">
        <f>B36*0.2</f>
        <v>16847.2</v>
      </c>
      <c r="I36" s="8">
        <f>B36*0.299</f>
        <v>25186.563999999998</v>
      </c>
      <c r="J36" s="8">
        <f t="shared" si="0"/>
        <v>84236</v>
      </c>
    </row>
    <row r="37" spans="1:10" x14ac:dyDescent="0.25">
      <c r="A37" s="4" t="s">
        <v>17</v>
      </c>
      <c r="B37" s="7">
        <f>SUM(B23:B36)</f>
        <v>1871993</v>
      </c>
      <c r="C37" s="8">
        <f>SUM(C23:C36)</f>
        <v>299846.7138253334</v>
      </c>
      <c r="D37" s="8">
        <f t="shared" ref="D37:I37" si="9">SUM(D23:D36)</f>
        <v>184252.17346333334</v>
      </c>
      <c r="E37" s="8">
        <f t="shared" si="9"/>
        <v>106730.88749333334</v>
      </c>
      <c r="F37" s="8">
        <f t="shared" si="9"/>
        <v>194864.46243433331</v>
      </c>
      <c r="G37" s="8">
        <f t="shared" si="9"/>
        <v>95206.705055333325</v>
      </c>
      <c r="H37" s="8">
        <f t="shared" si="9"/>
        <v>368017.74213333341</v>
      </c>
      <c r="I37" s="8">
        <f t="shared" si="9"/>
        <v>623074.22315899993</v>
      </c>
      <c r="J37" s="8">
        <f t="shared" si="0"/>
        <v>1871992.9075640002</v>
      </c>
    </row>
    <row r="38" spans="1:10" x14ac:dyDescent="0.25">
      <c r="A38" s="4"/>
      <c r="B38" s="7"/>
      <c r="C38" s="8"/>
      <c r="D38" s="8"/>
      <c r="E38" s="8"/>
      <c r="F38" s="8"/>
      <c r="G38" s="8"/>
      <c r="H38" s="8"/>
      <c r="I38" s="8"/>
      <c r="J38" s="8"/>
    </row>
    <row r="39" spans="1:10" x14ac:dyDescent="0.25">
      <c r="A39" s="4" t="s">
        <v>18</v>
      </c>
      <c r="B39" s="7">
        <f>B20-B37</f>
        <v>3318</v>
      </c>
      <c r="C39" s="7">
        <f t="shared" ref="C39:I39" si="10">C20-C37</f>
        <v>7704.2901746666175</v>
      </c>
      <c r="D39" s="7">
        <f t="shared" si="10"/>
        <v>31408.591536666674</v>
      </c>
      <c r="E39" s="7">
        <f t="shared" si="10"/>
        <v>2037.1505066666577</v>
      </c>
      <c r="F39" s="7">
        <f t="shared" si="10"/>
        <v>-1707.4294343333167</v>
      </c>
      <c r="G39" s="7">
        <f t="shared" si="10"/>
        <v>19187.265944666666</v>
      </c>
      <c r="H39" s="7">
        <f t="shared" si="10"/>
        <v>7044.4578666666057</v>
      </c>
      <c r="I39" s="7">
        <f t="shared" si="10"/>
        <v>-62356.234158999985</v>
      </c>
      <c r="J39" s="7">
        <f>SUM(C39:I39)</f>
        <v>3318.092435999919</v>
      </c>
    </row>
  </sheetData>
  <mergeCells count="17">
    <mergeCell ref="A1:J1"/>
    <mergeCell ref="A6:D6"/>
    <mergeCell ref="A7:D7"/>
    <mergeCell ref="A8:D8"/>
    <mergeCell ref="A9:D9"/>
    <mergeCell ref="A12:D12"/>
    <mergeCell ref="A5:D5"/>
    <mergeCell ref="E5:I5"/>
    <mergeCell ref="E6:I6"/>
    <mergeCell ref="E7:I7"/>
    <mergeCell ref="E8:I8"/>
    <mergeCell ref="E9:I9"/>
    <mergeCell ref="E10:I10"/>
    <mergeCell ref="E11:I11"/>
    <mergeCell ref="E12:I12"/>
    <mergeCell ref="A10:D10"/>
    <mergeCell ref="A11:D1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Paige Bond</dc:creator>
  <cp:lastModifiedBy>Mohammed Abdo</cp:lastModifiedBy>
  <dcterms:created xsi:type="dcterms:W3CDTF">2013-06-06T20:06:30Z</dcterms:created>
  <dcterms:modified xsi:type="dcterms:W3CDTF">2014-05-08T16:48:36Z</dcterms:modified>
</cp:coreProperties>
</file>
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B1E87A7E-6811-1646-AD31-3135A97D9236}" xr6:coauthVersionLast="46" xr6:coauthVersionMax="46" xr10:uidLastSave="{00000000-0000-0000-0000-000000000000}"/>
  <bookViews>
    <workbookView xWindow="-23180" yWindow="-21600" windowWidth="38400" windowHeight="21600" tabRatio="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4" i="2" l="1"/>
  <c r="B57" i="2" l="1"/>
  <c r="D52" i="2"/>
  <c r="D33" i="2"/>
  <c r="D89" i="2"/>
  <c r="B132" i="2"/>
  <c r="B133" i="2"/>
  <c r="B134" i="2"/>
  <c r="B142" i="2" s="1"/>
  <c r="B131" i="2"/>
  <c r="F89" i="2"/>
  <c r="F94" i="2" s="1"/>
  <c r="D90" i="2"/>
  <c r="F90" i="2"/>
  <c r="D91" i="2"/>
  <c r="F91" i="2"/>
  <c r="D92" i="2"/>
  <c r="F92" i="2"/>
  <c r="D93" i="2"/>
  <c r="F93" i="2"/>
  <c r="B141" i="2"/>
  <c r="B149" i="2" s="1"/>
  <c r="B140" i="2"/>
  <c r="B139" i="2"/>
  <c r="B147" i="2" s="1"/>
  <c r="C78" i="2"/>
  <c r="D78" i="2" s="1"/>
  <c r="C79" i="2"/>
  <c r="D79" i="2"/>
  <c r="B106" i="2" s="1"/>
  <c r="C80" i="2"/>
  <c r="D80" i="2"/>
  <c r="B107" i="2"/>
  <c r="C77" i="2"/>
  <c r="D77" i="2"/>
  <c r="B104" i="2"/>
  <c r="B112" i="2" s="1"/>
  <c r="B115" i="2"/>
  <c r="B123" i="2" s="1"/>
  <c r="D24" i="2"/>
  <c r="B47" i="2" s="1"/>
  <c r="D47" i="2" s="1"/>
  <c r="D25" i="2"/>
  <c r="E25" i="2" s="1"/>
  <c r="B48" i="2" s="1"/>
  <c r="D48" i="2" s="1"/>
  <c r="D26" i="2"/>
  <c r="E26" i="2" s="1"/>
  <c r="B49" i="2" s="1"/>
  <c r="D49" i="2" s="1"/>
  <c r="D27" i="2"/>
  <c r="E27" i="2" s="1"/>
  <c r="B50" i="2" s="1"/>
  <c r="D50" i="2" s="1"/>
  <c r="D28" i="2"/>
  <c r="E28" i="2" s="1"/>
  <c r="B51" i="2" s="1"/>
  <c r="D51" i="2" s="1"/>
  <c r="D34" i="2"/>
  <c r="E34" i="2"/>
  <c r="B58" i="2"/>
  <c r="D58" i="2" s="1"/>
  <c r="D35" i="2"/>
  <c r="E35" i="2"/>
  <c r="B59" i="2"/>
  <c r="D36" i="2"/>
  <c r="E36" i="2" s="1"/>
  <c r="B60" i="2" s="1"/>
  <c r="D60" i="2" s="1"/>
  <c r="D37" i="2"/>
  <c r="E37" i="2"/>
  <c r="B61" i="2" s="1"/>
  <c r="D61" i="2" s="1"/>
  <c r="E33" i="2"/>
  <c r="D57" i="2"/>
  <c r="D59" i="2"/>
  <c r="C62" i="2"/>
  <c r="C52" i="2"/>
  <c r="D62" i="2" l="1"/>
  <c r="B114" i="2"/>
  <c r="B150" i="2"/>
  <c r="B120" i="2"/>
  <c r="B105" i="2"/>
  <c r="B100" i="2"/>
  <c r="C100" i="2" s="1"/>
  <c r="B99" i="2"/>
  <c r="C99" i="2" s="1"/>
  <c r="B98" i="2"/>
  <c r="C98" i="2" s="1"/>
  <c r="B148" i="2"/>
  <c r="C112" i="2" l="1"/>
  <c r="D112" i="2" s="1"/>
  <c r="C141" i="2"/>
  <c r="D141" i="2" s="1"/>
  <c r="C139" i="2"/>
  <c r="D139" i="2" s="1"/>
  <c r="C113" i="2"/>
  <c r="C114" i="2"/>
  <c r="C142" i="2"/>
  <c r="D142" i="2" s="1"/>
  <c r="C140" i="2"/>
  <c r="D140" i="2" s="1"/>
  <c r="C115" i="2"/>
  <c r="D115" i="2" s="1"/>
  <c r="B122" i="2"/>
  <c r="D114" i="2"/>
  <c r="C120" i="2"/>
  <c r="D120" i="2" s="1"/>
  <c r="C123" i="2"/>
  <c r="D123" i="2" s="1"/>
  <c r="C121" i="2"/>
  <c r="C150" i="2"/>
  <c r="D150" i="2" s="1"/>
  <c r="C149" i="2"/>
  <c r="D149" i="2" s="1"/>
  <c r="C148" i="2"/>
  <c r="C147" i="2"/>
  <c r="D147" i="2" s="1"/>
  <c r="C122" i="2"/>
  <c r="E80" i="2"/>
  <c r="E77" i="2"/>
  <c r="B72" i="2"/>
  <c r="E79" i="2"/>
  <c r="B113" i="2"/>
  <c r="D148" i="2"/>
  <c r="C104" i="2"/>
  <c r="D104" i="2" s="1"/>
  <c r="C134" i="2"/>
  <c r="D134" i="2" s="1"/>
  <c r="C132" i="2"/>
  <c r="D132" i="2" s="1"/>
  <c r="C105" i="2"/>
  <c r="D105" i="2" s="1"/>
  <c r="C106" i="2"/>
  <c r="D106" i="2" s="1"/>
  <c r="C133" i="2"/>
  <c r="D133" i="2" s="1"/>
  <c r="C131" i="2"/>
  <c r="D131" i="2" s="1"/>
  <c r="C107" i="2"/>
  <c r="D107" i="2" s="1"/>
  <c r="E78" i="2"/>
  <c r="D122" i="2" l="1"/>
  <c r="B121" i="2"/>
  <c r="D121" i="2" s="1"/>
  <c r="D113" i="2"/>
</calcChain>
</file>

<file path=xl/sharedStrings.xml><?xml version="1.0" encoding="utf-8"?>
<sst xmlns="http://schemas.openxmlformats.org/spreadsheetml/2006/main" count="113" uniqueCount="45">
  <si>
    <t>Product</t>
  </si>
  <si>
    <t>Retail Price</t>
  </si>
  <si>
    <t>Wholesale Price</t>
  </si>
  <si>
    <t>Variable Cost</t>
  </si>
  <si>
    <t>Compost</t>
  </si>
  <si>
    <t>Landscape</t>
  </si>
  <si>
    <t>Two-Way Topsoil</t>
  </si>
  <si>
    <t>Tri-Mix Topsoil</t>
  </si>
  <si>
    <t>Landscape Woodchips</t>
  </si>
  <si>
    <t>Unit Contribution</t>
  </si>
  <si>
    <t>Contribution Margin</t>
  </si>
  <si>
    <t>(Retail-Wholesale)</t>
  </si>
  <si>
    <t>UC/Retail</t>
  </si>
  <si>
    <t>(Wholesale-Variable)</t>
  </si>
  <si>
    <t>UC/Wholesale</t>
  </si>
  <si>
    <t>Participating Organizations</t>
  </si>
  <si>
    <t>Expected Sales Breakdown</t>
  </si>
  <si>
    <t>Weighted Average</t>
  </si>
  <si>
    <t>Total</t>
  </si>
  <si>
    <t>(CM*Expected)</t>
  </si>
  <si>
    <t>Try Recycling</t>
  </si>
  <si>
    <t>Target Profit Breakeven Sales</t>
  </si>
  <si>
    <t># of Organizations</t>
  </si>
  <si>
    <t>Target Profit</t>
  </si>
  <si>
    <t>Fixed Costs</t>
  </si>
  <si>
    <t>(500*# of Organizations)</t>
  </si>
  <si>
    <t>(TP + FC)</t>
  </si>
  <si>
    <t>Breakeven</t>
  </si>
  <si>
    <t>(Total/CMR)</t>
  </si>
  <si>
    <t>Weighted Average Unit Contribution Per Yard</t>
  </si>
  <si>
    <t>(UC*Expected)</t>
  </si>
  <si>
    <t>Unit Contribution per Customer</t>
  </si>
  <si>
    <t>UC per Yard</t>
  </si>
  <si>
    <t>UC per Customer</t>
  </si>
  <si>
    <t># Yards of Customers</t>
  </si>
  <si>
    <t>TP+FC</t>
  </si>
  <si>
    <t>Breakeven Customers (5 yards/customer)</t>
  </si>
  <si>
    <t>UC/Customer</t>
  </si>
  <si>
    <t>B/E Customers</t>
  </si>
  <si>
    <t>Breakeven Customers (6 yards/customer)</t>
  </si>
  <si>
    <t>Breakeven Customers (7 yards/customer)</t>
  </si>
  <si>
    <t>The Grow Green Program</t>
  </si>
  <si>
    <t>Breakeven Sales:</t>
  </si>
  <si>
    <t>Fixed Costs/Contribution Margin Rate</t>
  </si>
  <si>
    <t>500/30.97%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</si>
</sst>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7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/>
    <xf numFmtId="10" fontId="0" fillId="0" borderId="1" xfId="1" applyNumberFormat="1" applyFont="1" applyBorder="1"/>
    <xf numFmtId="9" fontId="0" fillId="0" borderId="1" xfId="0" applyNumberFormat="1" applyBorder="1"/>
    <xf numFmtId="0" fontId="0" fillId="0" borderId="1" xfId="0" applyFill="1" applyBorder="1"/>
    <xf numFmtId="10" fontId="2" fillId="0" borderId="1" xfId="0" applyNumberFormat="1" applyFont="1" applyBorder="1"/>
    <xf numFmtId="3" fontId="0" fillId="0" borderId="0" xfId="0" applyNumberFormat="1"/>
    <xf numFmtId="3" fontId="0" fillId="0" borderId="1" xfId="0" applyNumberFormat="1" applyBorder="1"/>
    <xf numFmtId="0" fontId="0" fillId="0" borderId="1" xfId="0" applyFill="1" applyBorder="1" applyAlignment="1">
      <alignment horizontal="center"/>
    </xf>
    <xf numFmtId="164" fontId="2" fillId="0" borderId="1" xfId="0" applyNumberFormat="1" applyFont="1" applyBorder="1"/>
    <xf numFmtId="3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wrapText="1"/>
    </xf>
    <xf numFmtId="0" fontId="0" fillId="0" borderId="3" xfId="0" applyFill="1" applyBorder="1"/>
    <xf numFmtId="1" fontId="0" fillId="0" borderId="0" xfId="0" applyNumberFormat="1" applyAlignment="1">
      <alignment horizontal="left"/>
    </xf>
    <xf numFmtId="0" fontId="2" fillId="0" borderId="0" xfId="0" applyFont="1"/>
    <xf numFmtId="165" fontId="0" fillId="0" borderId="1" xfId="0" applyNumberFormat="1" applyBorder="1"/>
    <xf numFmtId="0" fontId="5" fillId="0" borderId="2" xfId="0" applyFont="1" applyBorder="1" applyAlignment="1">
      <alignment horizontal="center"/>
    </xf>
    <xf numFmtId="0" fontId="0" fillId="0" borderId="0" xfId="0" applyBorder="1"/>
  </cellXfs>
  <cellStyles count="7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2</xdr:row>
      <xdr:rowOff>127000</xdr:rowOff>
    </xdr:from>
    <xdr:to>
      <xdr:col>8</xdr:col>
      <xdr:colOff>508000</xdr:colOff>
      <xdr:row>14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900" y="647700"/>
          <a:ext cx="7023100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2. Considering the market trends, corporate capabilities and potential customers, is the time right for a venture like the Grow Green Program?</a:t>
          </a:r>
        </a:p>
        <a:p>
          <a:endParaRPr lang="en-US" sz="1200"/>
        </a:p>
        <a:p>
          <a:r>
            <a:rPr lang="en-US" sz="1200"/>
            <a:t>•People are becoming more eco friendly every year</a:t>
          </a:r>
        </a:p>
        <a:p>
          <a:r>
            <a:rPr lang="en-US" sz="1200"/>
            <a:t>•Schools need to increase their fundraising since having budgets cut by the provincial government</a:t>
          </a:r>
        </a:p>
        <a:p>
          <a:r>
            <a:rPr lang="en-US" sz="1200"/>
            <a:t>•Fund raising initiatives are becoming more diverse</a:t>
          </a:r>
        </a:p>
        <a:p>
          <a:r>
            <a:rPr lang="en-US" sz="1200"/>
            <a:t>	oThis is a very unique opportunity that has likely never been offered before</a:t>
          </a:r>
        </a:p>
        <a:p>
          <a:r>
            <a:rPr lang="en-US" sz="1200"/>
            <a:t>	oWill increase knowledge about recycled products in the future</a:t>
          </a:r>
        </a:p>
        <a:p>
          <a:r>
            <a:rPr lang="en-US" sz="1200"/>
            <a:t>•London produces the lowest amount of waste in the country due to an increase in recycling initiatives</a:t>
          </a:r>
        </a:p>
        <a:p>
          <a:endParaRPr lang="en-US" sz="1100"/>
        </a:p>
      </xdr:txBody>
    </xdr:sp>
    <xdr:clientData/>
  </xdr:twoCellAnchor>
  <xdr:twoCellAnchor>
    <xdr:from>
      <xdr:col>0</xdr:col>
      <xdr:colOff>114300</xdr:colOff>
      <xdr:row>16</xdr:row>
      <xdr:rowOff>12700</xdr:rowOff>
    </xdr:from>
    <xdr:to>
      <xdr:col>8</xdr:col>
      <xdr:colOff>495300</xdr:colOff>
      <xdr:row>18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300" y="3302000"/>
          <a:ext cx="69850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3. Calculate the contribution margin rate for each product for Try. Calculate the contribution margin rate for each product for the participating organizations.</a:t>
          </a:r>
        </a:p>
      </xdr:txBody>
    </xdr:sp>
    <xdr:clientData/>
  </xdr:twoCellAnchor>
  <xdr:twoCellAnchor>
    <xdr:from>
      <xdr:col>0</xdr:col>
      <xdr:colOff>114300</xdr:colOff>
      <xdr:row>38</xdr:row>
      <xdr:rowOff>127000</xdr:rowOff>
    </xdr:from>
    <xdr:to>
      <xdr:col>8</xdr:col>
      <xdr:colOff>292100</xdr:colOff>
      <xdr:row>41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4300" y="7607300"/>
          <a:ext cx="91567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4. Calculate the weighted average contribution margin rate for all five products for Try and for participating organizations.</a:t>
          </a:r>
        </a:p>
      </xdr:txBody>
    </xdr:sp>
    <xdr:clientData/>
  </xdr:twoCellAnchor>
  <xdr:twoCellAnchor>
    <xdr:from>
      <xdr:col>0</xdr:col>
      <xdr:colOff>127000</xdr:colOff>
      <xdr:row>63</xdr:row>
      <xdr:rowOff>139700</xdr:rowOff>
    </xdr:from>
    <xdr:to>
      <xdr:col>8</xdr:col>
      <xdr:colOff>228600</xdr:colOff>
      <xdr:row>67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7000" y="12382500"/>
          <a:ext cx="99441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400" b="1"/>
        </a:p>
        <a:p>
          <a:r>
            <a:rPr lang="en-US" sz="1400" b="1"/>
            <a:t>5. Using Try’s weighted average contribution rate, determine (a) breakeven sales per participating organization, and (b) target profit breakeven sales per participating organization for 1, 5, 10, and 25 organizations.</a:t>
          </a:r>
        </a:p>
        <a:p>
          <a:endParaRPr lang="en-US" sz="1100"/>
        </a:p>
      </xdr:txBody>
    </xdr:sp>
    <xdr:clientData/>
  </xdr:twoCellAnchor>
  <xdr:twoCellAnchor>
    <xdr:from>
      <xdr:col>0</xdr:col>
      <xdr:colOff>114300</xdr:colOff>
      <xdr:row>81</xdr:row>
      <xdr:rowOff>152400</xdr:rowOff>
    </xdr:from>
    <xdr:to>
      <xdr:col>8</xdr:col>
      <xdr:colOff>165100</xdr:colOff>
      <xdr:row>84</xdr:row>
      <xdr:rowOff>25400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4300" y="15824200"/>
          <a:ext cx="9893300" cy="44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6. How many customers are needed to meet target profit breakeven sales for 1, 5, 10 and 25 organizations?</a:t>
          </a:r>
        </a:p>
      </xdr:txBody>
    </xdr:sp>
    <xdr:clientData/>
  </xdr:twoCellAnchor>
  <xdr:twoCellAnchor>
    <xdr:from>
      <xdr:col>0</xdr:col>
      <xdr:colOff>88900</xdr:colOff>
      <xdr:row>124</xdr:row>
      <xdr:rowOff>165100</xdr:rowOff>
    </xdr:from>
    <xdr:to>
      <xdr:col>5</xdr:col>
      <xdr:colOff>495300</xdr:colOff>
      <xdr:row>127</xdr:row>
      <xdr:rowOff>50800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8900" y="24028400"/>
          <a:ext cx="8102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Extra Calculation: Breakeven Number</a:t>
          </a:r>
          <a:r>
            <a:rPr lang="en-US" sz="1400" b="1" baseline="0"/>
            <a:t> of Customers (Fixed Costs Only) 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A66" workbookViewId="0">
      <selection activeCell="E77" sqref="E77"/>
    </sheetView>
  </sheetViews>
  <sheetFormatPr baseColWidth="10" defaultColWidth="11" defaultRowHeight="16" x14ac:dyDescent="0.2"/>
  <cols>
    <col min="1" max="1" width="19" customWidth="1"/>
    <col min="2" max="2" width="18.1640625" customWidth="1"/>
    <col min="3" max="3" width="22.5" customWidth="1"/>
    <col min="4" max="4" width="18.33203125" customWidth="1"/>
    <col min="5" max="5" width="23" customWidth="1"/>
    <col min="6" max="6" width="17.1640625" customWidth="1"/>
  </cols>
  <sheetData>
    <row r="1" spans="1:9" ht="35" thickBot="1" x14ac:dyDescent="0.45">
      <c r="A1" s="20" t="s">
        <v>41</v>
      </c>
      <c r="B1" s="20"/>
      <c r="C1" s="20"/>
      <c r="D1" s="20"/>
      <c r="E1" s="20"/>
      <c r="F1" s="20"/>
      <c r="G1" s="20"/>
      <c r="H1" s="20"/>
      <c r="I1" s="20"/>
    </row>
    <row r="3" spans="1:9" x14ac:dyDescent="0.2">
      <c r="A3" s="15"/>
    </row>
    <row r="21" spans="1:5" x14ac:dyDescent="0.2">
      <c r="A21" s="16" t="s">
        <v>20</v>
      </c>
    </row>
    <row r="22" spans="1:5" x14ac:dyDescent="0.2">
      <c r="A22" s="1" t="s">
        <v>0</v>
      </c>
      <c r="B22" s="1" t="s">
        <v>2</v>
      </c>
      <c r="C22" s="1" t="s">
        <v>3</v>
      </c>
      <c r="D22" s="1" t="s">
        <v>9</v>
      </c>
      <c r="E22" s="1" t="s">
        <v>10</v>
      </c>
    </row>
    <row r="23" spans="1:5" x14ac:dyDescent="0.2">
      <c r="A23" s="1"/>
      <c r="B23" s="1"/>
      <c r="C23" s="1"/>
      <c r="D23" s="1" t="s">
        <v>13</v>
      </c>
      <c r="E23" s="1" t="s">
        <v>14</v>
      </c>
    </row>
    <row r="24" spans="1:5" x14ac:dyDescent="0.2">
      <c r="A24" s="2" t="s">
        <v>4</v>
      </c>
      <c r="B24" s="3">
        <v>13</v>
      </c>
      <c r="C24" s="3">
        <v>11</v>
      </c>
      <c r="D24" s="4">
        <f>B24-C24</f>
        <v>2</v>
      </c>
      <c r="E24" s="5">
        <f>D24/B24</f>
        <v>0.15384615384615385</v>
      </c>
    </row>
    <row r="25" spans="1:5" x14ac:dyDescent="0.2">
      <c r="A25" s="2" t="s">
        <v>5</v>
      </c>
      <c r="B25" s="3">
        <v>10</v>
      </c>
      <c r="C25" s="3">
        <v>4</v>
      </c>
      <c r="D25" s="4">
        <f t="shared" ref="D25:D28" si="0">B25-C25</f>
        <v>6</v>
      </c>
      <c r="E25" s="5">
        <f t="shared" ref="E25:E28" si="1">D25/B25</f>
        <v>0.6</v>
      </c>
    </row>
    <row r="26" spans="1:5" x14ac:dyDescent="0.2">
      <c r="A26" s="2" t="s">
        <v>6</v>
      </c>
      <c r="B26" s="3">
        <v>12</v>
      </c>
      <c r="C26" s="3">
        <v>8.5</v>
      </c>
      <c r="D26" s="4">
        <f t="shared" si="0"/>
        <v>3.5</v>
      </c>
      <c r="E26" s="5">
        <f t="shared" si="1"/>
        <v>0.29166666666666669</v>
      </c>
    </row>
    <row r="27" spans="1:5" x14ac:dyDescent="0.2">
      <c r="A27" s="2" t="s">
        <v>7</v>
      </c>
      <c r="B27" s="3">
        <v>17</v>
      </c>
      <c r="C27" s="3">
        <v>11.75</v>
      </c>
      <c r="D27" s="4">
        <f t="shared" si="0"/>
        <v>5.25</v>
      </c>
      <c r="E27" s="5">
        <f t="shared" si="1"/>
        <v>0.30882352941176472</v>
      </c>
    </row>
    <row r="28" spans="1:5" x14ac:dyDescent="0.2">
      <c r="A28" s="2" t="s">
        <v>8</v>
      </c>
      <c r="B28" s="3">
        <v>27</v>
      </c>
      <c r="C28" s="3">
        <v>18</v>
      </c>
      <c r="D28" s="4">
        <f t="shared" si="0"/>
        <v>9</v>
      </c>
      <c r="E28" s="5">
        <f t="shared" si="1"/>
        <v>0.33333333333333331</v>
      </c>
    </row>
    <row r="30" spans="1:5" x14ac:dyDescent="0.2">
      <c r="A30" t="s">
        <v>15</v>
      </c>
    </row>
    <row r="31" spans="1:5" x14ac:dyDescent="0.2">
      <c r="A31" s="1" t="s">
        <v>0</v>
      </c>
      <c r="B31" s="1" t="s">
        <v>1</v>
      </c>
      <c r="C31" s="1" t="s">
        <v>2</v>
      </c>
      <c r="D31" s="1" t="s">
        <v>9</v>
      </c>
      <c r="E31" s="1" t="s">
        <v>10</v>
      </c>
    </row>
    <row r="32" spans="1:5" x14ac:dyDescent="0.2">
      <c r="A32" s="1"/>
      <c r="B32" s="1"/>
      <c r="C32" s="1"/>
      <c r="D32" s="1" t="s">
        <v>11</v>
      </c>
      <c r="E32" s="1" t="s">
        <v>12</v>
      </c>
    </row>
    <row r="33" spans="1:5" x14ac:dyDescent="0.2">
      <c r="A33" s="2" t="s">
        <v>4</v>
      </c>
      <c r="B33" s="3">
        <v>18</v>
      </c>
      <c r="C33" s="3">
        <v>13</v>
      </c>
      <c r="D33" s="4">
        <f>B33-C33</f>
        <v>5</v>
      </c>
      <c r="E33" s="5">
        <f>D33/B33</f>
        <v>0.27777777777777779</v>
      </c>
    </row>
    <row r="34" spans="1:5" x14ac:dyDescent="0.2">
      <c r="A34" s="2" t="s">
        <v>5</v>
      </c>
      <c r="B34" s="3">
        <v>12.5</v>
      </c>
      <c r="C34" s="3">
        <v>10</v>
      </c>
      <c r="D34" s="4">
        <f t="shared" ref="D34:D37" si="2">B34-C34</f>
        <v>2.5</v>
      </c>
      <c r="E34" s="5">
        <f t="shared" ref="E34:E37" si="3">D34/B34</f>
        <v>0.2</v>
      </c>
    </row>
    <row r="35" spans="1:5" x14ac:dyDescent="0.2">
      <c r="A35" s="2" t="s">
        <v>6</v>
      </c>
      <c r="B35" s="3">
        <v>19</v>
      </c>
      <c r="C35" s="3">
        <v>12</v>
      </c>
      <c r="D35" s="4">
        <f t="shared" si="2"/>
        <v>7</v>
      </c>
      <c r="E35" s="5">
        <f t="shared" si="3"/>
        <v>0.36842105263157893</v>
      </c>
    </row>
    <row r="36" spans="1:5" x14ac:dyDescent="0.2">
      <c r="A36" s="2" t="s">
        <v>7</v>
      </c>
      <c r="B36" s="3">
        <v>22</v>
      </c>
      <c r="C36" s="3">
        <v>17</v>
      </c>
      <c r="D36" s="4">
        <f t="shared" si="2"/>
        <v>5</v>
      </c>
      <c r="E36" s="5">
        <f t="shared" si="3"/>
        <v>0.22727272727272727</v>
      </c>
    </row>
    <row r="37" spans="1:5" x14ac:dyDescent="0.2">
      <c r="A37" s="2" t="s">
        <v>8</v>
      </c>
      <c r="B37" s="3">
        <v>32</v>
      </c>
      <c r="C37" s="3">
        <v>27</v>
      </c>
      <c r="D37" s="4">
        <f t="shared" si="2"/>
        <v>5</v>
      </c>
      <c r="E37" s="5">
        <f t="shared" si="3"/>
        <v>0.15625</v>
      </c>
    </row>
    <row r="44" spans="1:5" x14ac:dyDescent="0.2">
      <c r="A44" t="s">
        <v>20</v>
      </c>
    </row>
    <row r="45" spans="1:5" x14ac:dyDescent="0.2">
      <c r="A45" s="1" t="s">
        <v>0</v>
      </c>
      <c r="B45" s="1" t="s">
        <v>10</v>
      </c>
      <c r="C45" s="1" t="s">
        <v>16</v>
      </c>
      <c r="D45" s="1" t="s">
        <v>17</v>
      </c>
    </row>
    <row r="46" spans="1:5" x14ac:dyDescent="0.2">
      <c r="A46" s="1"/>
      <c r="B46" s="1" t="s">
        <v>14</v>
      </c>
      <c r="C46" s="1"/>
      <c r="D46" s="1" t="s">
        <v>19</v>
      </c>
    </row>
    <row r="47" spans="1:5" x14ac:dyDescent="0.2">
      <c r="A47" s="2" t="s">
        <v>4</v>
      </c>
      <c r="B47" s="5">
        <f>E24</f>
        <v>0.15384615384615385</v>
      </c>
      <c r="C47" s="6">
        <v>0.12</v>
      </c>
      <c r="D47" s="5">
        <f>B47*C47</f>
        <v>1.8461538461538463E-2</v>
      </c>
    </row>
    <row r="48" spans="1:5" x14ac:dyDescent="0.2">
      <c r="A48" s="2" t="s">
        <v>5</v>
      </c>
      <c r="B48" s="5">
        <f t="shared" ref="B48:B51" si="4">E25</f>
        <v>0.6</v>
      </c>
      <c r="C48" s="6">
        <v>0.08</v>
      </c>
      <c r="D48" s="5">
        <f t="shared" ref="D48:D51" si="5">B48*C48</f>
        <v>4.8000000000000001E-2</v>
      </c>
    </row>
    <row r="49" spans="1:4" x14ac:dyDescent="0.2">
      <c r="A49" s="2" t="s">
        <v>6</v>
      </c>
      <c r="B49" s="5">
        <f t="shared" si="4"/>
        <v>0.29166666666666669</v>
      </c>
      <c r="C49" s="6">
        <v>0.51</v>
      </c>
      <c r="D49" s="5">
        <f t="shared" si="5"/>
        <v>0.14875000000000002</v>
      </c>
    </row>
    <row r="50" spans="1:4" x14ac:dyDescent="0.2">
      <c r="A50" s="2" t="s">
        <v>7</v>
      </c>
      <c r="B50" s="5">
        <f t="shared" si="4"/>
        <v>0.30882352941176472</v>
      </c>
      <c r="C50" s="6">
        <v>0.09</v>
      </c>
      <c r="D50" s="5">
        <f t="shared" si="5"/>
        <v>2.7794117647058823E-2</v>
      </c>
    </row>
    <row r="51" spans="1:4" x14ac:dyDescent="0.2">
      <c r="A51" s="2" t="s">
        <v>8</v>
      </c>
      <c r="B51" s="5">
        <f t="shared" si="4"/>
        <v>0.33333333333333331</v>
      </c>
      <c r="C51" s="6">
        <v>0.2</v>
      </c>
      <c r="D51" s="5">
        <f t="shared" si="5"/>
        <v>6.6666666666666666E-2</v>
      </c>
    </row>
    <row r="52" spans="1:4" x14ac:dyDescent="0.2">
      <c r="A52" s="7" t="s">
        <v>18</v>
      </c>
      <c r="B52" s="2"/>
      <c r="C52" s="6">
        <f>SUM(C47:C51)</f>
        <v>1</v>
      </c>
      <c r="D52" s="8">
        <f>SUM(D47:D51)</f>
        <v>0.30967232277526396</v>
      </c>
    </row>
    <row r="54" spans="1:4" x14ac:dyDescent="0.2">
      <c r="A54" t="s">
        <v>15</v>
      </c>
    </row>
    <row r="55" spans="1:4" x14ac:dyDescent="0.2">
      <c r="A55" s="1" t="s">
        <v>0</v>
      </c>
      <c r="B55" s="1" t="s">
        <v>10</v>
      </c>
      <c r="C55" s="1" t="s">
        <v>16</v>
      </c>
      <c r="D55" s="1" t="s">
        <v>17</v>
      </c>
    </row>
    <row r="56" spans="1:4" x14ac:dyDescent="0.2">
      <c r="A56" s="1"/>
      <c r="B56" s="1" t="s">
        <v>12</v>
      </c>
      <c r="C56" s="1"/>
      <c r="D56" s="1" t="s">
        <v>19</v>
      </c>
    </row>
    <row r="57" spans="1:4" x14ac:dyDescent="0.2">
      <c r="A57" s="2" t="s">
        <v>4</v>
      </c>
      <c r="B57" s="5">
        <f>E33</f>
        <v>0.27777777777777779</v>
      </c>
      <c r="C57" s="6">
        <v>0.12</v>
      </c>
      <c r="D57" s="5">
        <f>B57*C57</f>
        <v>3.3333333333333333E-2</v>
      </c>
    </row>
    <row r="58" spans="1:4" x14ac:dyDescent="0.2">
      <c r="A58" s="2" t="s">
        <v>5</v>
      </c>
      <c r="B58" s="5">
        <f t="shared" ref="B58:B61" si="6">E34</f>
        <v>0.2</v>
      </c>
      <c r="C58" s="6">
        <v>0.08</v>
      </c>
      <c r="D58" s="5">
        <f t="shared" ref="D58:D61" si="7">B58*C58</f>
        <v>1.6E-2</v>
      </c>
    </row>
    <row r="59" spans="1:4" x14ac:dyDescent="0.2">
      <c r="A59" s="2" t="s">
        <v>6</v>
      </c>
      <c r="B59" s="5">
        <f t="shared" si="6"/>
        <v>0.36842105263157893</v>
      </c>
      <c r="C59" s="6">
        <v>0.51</v>
      </c>
      <c r="D59" s="5">
        <f t="shared" si="7"/>
        <v>0.18789473684210525</v>
      </c>
    </row>
    <row r="60" spans="1:4" x14ac:dyDescent="0.2">
      <c r="A60" s="2" t="s">
        <v>7</v>
      </c>
      <c r="B60" s="5">
        <f t="shared" si="6"/>
        <v>0.22727272727272727</v>
      </c>
      <c r="C60" s="6">
        <v>0.09</v>
      </c>
      <c r="D60" s="5">
        <f t="shared" si="7"/>
        <v>2.0454545454545454E-2</v>
      </c>
    </row>
    <row r="61" spans="1:4" x14ac:dyDescent="0.2">
      <c r="A61" s="2" t="s">
        <v>8</v>
      </c>
      <c r="B61" s="5">
        <f t="shared" si="6"/>
        <v>0.15625</v>
      </c>
      <c r="C61" s="6">
        <v>0.2</v>
      </c>
      <c r="D61" s="5">
        <f t="shared" si="7"/>
        <v>3.125E-2</v>
      </c>
    </row>
    <row r="62" spans="1:4" x14ac:dyDescent="0.2">
      <c r="A62" s="7" t="s">
        <v>18</v>
      </c>
      <c r="B62" s="2"/>
      <c r="C62" s="6">
        <f>SUM(C57:C61)</f>
        <v>1</v>
      </c>
      <c r="D62" s="8">
        <f>SUM(D57:D61)</f>
        <v>0.28893261562998407</v>
      </c>
    </row>
    <row r="70" spans="1:5" x14ac:dyDescent="0.2">
      <c r="A70" s="18" t="s">
        <v>42</v>
      </c>
      <c r="B70" t="s">
        <v>43</v>
      </c>
    </row>
    <row r="71" spans="1:5" x14ac:dyDescent="0.2">
      <c r="B71" t="s">
        <v>44</v>
      </c>
    </row>
    <row r="72" spans="1:5" x14ac:dyDescent="0.2">
      <c r="B72" s="17">
        <f>500/D52</f>
        <v>1614.6099061066591</v>
      </c>
    </row>
    <row r="74" spans="1:5" x14ac:dyDescent="0.2">
      <c r="A74" t="s">
        <v>21</v>
      </c>
    </row>
    <row r="75" spans="1:5" x14ac:dyDescent="0.2">
      <c r="A75" s="1" t="s">
        <v>22</v>
      </c>
      <c r="B75" s="1" t="s">
        <v>23</v>
      </c>
      <c r="C75" s="1" t="s">
        <v>24</v>
      </c>
      <c r="D75" s="1" t="s">
        <v>18</v>
      </c>
      <c r="E75" s="1" t="s">
        <v>27</v>
      </c>
    </row>
    <row r="76" spans="1:5" x14ac:dyDescent="0.2">
      <c r="A76" s="1"/>
      <c r="B76" s="1"/>
      <c r="C76" s="1" t="s">
        <v>25</v>
      </c>
      <c r="D76" s="1" t="s">
        <v>26</v>
      </c>
      <c r="E76" s="1" t="s">
        <v>28</v>
      </c>
    </row>
    <row r="77" spans="1:5" x14ac:dyDescent="0.2">
      <c r="A77" s="2">
        <v>1</v>
      </c>
      <c r="B77" s="10">
        <v>35000</v>
      </c>
      <c r="C77" s="2">
        <f>500*A77</f>
        <v>500</v>
      </c>
      <c r="D77" s="10">
        <f>B77+C77</f>
        <v>35500</v>
      </c>
      <c r="E77" s="19">
        <f>D77/$D$52</f>
        <v>114637.3033335728</v>
      </c>
    </row>
    <row r="78" spans="1:5" x14ac:dyDescent="0.2">
      <c r="A78" s="2">
        <v>5</v>
      </c>
      <c r="B78" s="10">
        <v>35000</v>
      </c>
      <c r="C78" s="2">
        <f t="shared" ref="C78:C80" si="8">500*A78</f>
        <v>2500</v>
      </c>
      <c r="D78" s="10">
        <f t="shared" ref="D78:D80" si="9">B78+C78</f>
        <v>37500</v>
      </c>
      <c r="E78" s="19">
        <f t="shared" ref="E78:E80" si="10">D78/$D$52</f>
        <v>121095.74295799944</v>
      </c>
    </row>
    <row r="79" spans="1:5" x14ac:dyDescent="0.2">
      <c r="A79" s="2">
        <v>10</v>
      </c>
      <c r="B79" s="10">
        <v>35000</v>
      </c>
      <c r="C79" s="2">
        <f t="shared" si="8"/>
        <v>5000</v>
      </c>
      <c r="D79" s="10">
        <f t="shared" si="9"/>
        <v>40000</v>
      </c>
      <c r="E79" s="19">
        <f t="shared" si="10"/>
        <v>129168.79248853274</v>
      </c>
    </row>
    <row r="80" spans="1:5" x14ac:dyDescent="0.2">
      <c r="A80" s="2">
        <v>25</v>
      </c>
      <c r="B80" s="10">
        <v>35000</v>
      </c>
      <c r="C80" s="2">
        <f t="shared" si="8"/>
        <v>12500</v>
      </c>
      <c r="D80" s="10">
        <f t="shared" si="9"/>
        <v>47500</v>
      </c>
      <c r="E80" s="19">
        <f t="shared" si="10"/>
        <v>153387.94108013262</v>
      </c>
    </row>
    <row r="86" spans="1:6" x14ac:dyDescent="0.2">
      <c r="A86" t="s">
        <v>29</v>
      </c>
    </row>
    <row r="87" spans="1:6" x14ac:dyDescent="0.2">
      <c r="A87" s="1" t="s">
        <v>0</v>
      </c>
      <c r="B87" s="1" t="s">
        <v>2</v>
      </c>
      <c r="C87" s="1" t="s">
        <v>3</v>
      </c>
      <c r="D87" s="1" t="s">
        <v>9</v>
      </c>
      <c r="E87" s="1" t="s">
        <v>16</v>
      </c>
      <c r="F87" s="11" t="s">
        <v>17</v>
      </c>
    </row>
    <row r="88" spans="1:6" x14ac:dyDescent="0.2">
      <c r="A88" s="1"/>
      <c r="B88" s="1"/>
      <c r="C88" s="1"/>
      <c r="D88" s="1" t="s">
        <v>13</v>
      </c>
      <c r="E88" s="1"/>
      <c r="F88" s="1" t="s">
        <v>30</v>
      </c>
    </row>
    <row r="89" spans="1:6" x14ac:dyDescent="0.2">
      <c r="A89" s="2" t="s">
        <v>4</v>
      </c>
      <c r="B89" s="3">
        <v>13</v>
      </c>
      <c r="C89" s="3">
        <v>11</v>
      </c>
      <c r="D89" s="4">
        <f>B89-C89</f>
        <v>2</v>
      </c>
      <c r="E89" s="6">
        <v>0.12</v>
      </c>
      <c r="F89" s="3">
        <f>D89*E89</f>
        <v>0.24</v>
      </c>
    </row>
    <row r="90" spans="1:6" x14ac:dyDescent="0.2">
      <c r="A90" s="2" t="s">
        <v>5</v>
      </c>
      <c r="B90" s="3">
        <v>10</v>
      </c>
      <c r="C90" s="3">
        <v>4</v>
      </c>
      <c r="D90" s="4">
        <f t="shared" ref="D90:D93" si="11">B90-C90</f>
        <v>6</v>
      </c>
      <c r="E90" s="6">
        <v>0.08</v>
      </c>
      <c r="F90" s="3">
        <f t="shared" ref="F90:F93" si="12">D90*E90</f>
        <v>0.48</v>
      </c>
    </row>
    <row r="91" spans="1:6" x14ac:dyDescent="0.2">
      <c r="A91" s="2" t="s">
        <v>6</v>
      </c>
      <c r="B91" s="3">
        <v>12</v>
      </c>
      <c r="C91" s="3">
        <v>8.5</v>
      </c>
      <c r="D91" s="4">
        <f t="shared" si="11"/>
        <v>3.5</v>
      </c>
      <c r="E91" s="6">
        <v>0.51</v>
      </c>
      <c r="F91" s="3">
        <f t="shared" si="12"/>
        <v>1.7850000000000001</v>
      </c>
    </row>
    <row r="92" spans="1:6" x14ac:dyDescent="0.2">
      <c r="A92" s="2" t="s">
        <v>7</v>
      </c>
      <c r="B92" s="3">
        <v>17</v>
      </c>
      <c r="C92" s="3">
        <v>11.75</v>
      </c>
      <c r="D92" s="4">
        <f t="shared" si="11"/>
        <v>5.25</v>
      </c>
      <c r="E92" s="6">
        <v>0.09</v>
      </c>
      <c r="F92" s="3">
        <f t="shared" si="12"/>
        <v>0.47249999999999998</v>
      </c>
    </row>
    <row r="93" spans="1:6" x14ac:dyDescent="0.2">
      <c r="A93" s="2" t="s">
        <v>8</v>
      </c>
      <c r="B93" s="3">
        <v>27</v>
      </c>
      <c r="C93" s="3">
        <v>18</v>
      </c>
      <c r="D93" s="4">
        <f t="shared" si="11"/>
        <v>9</v>
      </c>
      <c r="E93" s="6">
        <v>0.2</v>
      </c>
      <c r="F93" s="3">
        <f t="shared" si="12"/>
        <v>1.8</v>
      </c>
    </row>
    <row r="94" spans="1:6" x14ac:dyDescent="0.2">
      <c r="A94" s="2"/>
      <c r="B94" s="2"/>
      <c r="C94" s="2"/>
      <c r="D94" s="2"/>
      <c r="E94" s="6"/>
      <c r="F94" s="12">
        <f>SUM(F89:F93)</f>
        <v>4.7774999999999999</v>
      </c>
    </row>
    <row r="96" spans="1:6" x14ac:dyDescent="0.2">
      <c r="A96" t="s">
        <v>31</v>
      </c>
    </row>
    <row r="97" spans="1:4" x14ac:dyDescent="0.2">
      <c r="A97" s="1" t="s">
        <v>34</v>
      </c>
      <c r="B97" s="1" t="s">
        <v>32</v>
      </c>
      <c r="C97" s="1" t="s">
        <v>33</v>
      </c>
    </row>
    <row r="98" spans="1:4" x14ac:dyDescent="0.2">
      <c r="A98" s="2">
        <v>5</v>
      </c>
      <c r="B98" s="3">
        <f>$F$94</f>
        <v>4.7774999999999999</v>
      </c>
      <c r="C98" s="3">
        <f>A98*B98</f>
        <v>23.887499999999999</v>
      </c>
    </row>
    <row r="99" spans="1:4" x14ac:dyDescent="0.2">
      <c r="A99" s="2">
        <v>6</v>
      </c>
      <c r="B99" s="3">
        <f t="shared" ref="B99:B100" si="13">$F$94</f>
        <v>4.7774999999999999</v>
      </c>
      <c r="C99" s="3">
        <f t="shared" ref="C99:C100" si="14">A99*B99</f>
        <v>28.664999999999999</v>
      </c>
    </row>
    <row r="100" spans="1:4" x14ac:dyDescent="0.2">
      <c r="A100" s="2">
        <v>7</v>
      </c>
      <c r="B100" s="3">
        <f t="shared" si="13"/>
        <v>4.7774999999999999</v>
      </c>
      <c r="C100" s="3">
        <f t="shared" si="14"/>
        <v>33.442499999999995</v>
      </c>
    </row>
    <row r="102" spans="1:4" x14ac:dyDescent="0.2">
      <c r="A102" s="9" t="s">
        <v>36</v>
      </c>
    </row>
    <row r="103" spans="1:4" x14ac:dyDescent="0.2">
      <c r="A103" s="13" t="s">
        <v>22</v>
      </c>
      <c r="B103" s="1" t="s">
        <v>35</v>
      </c>
      <c r="C103" s="1" t="s">
        <v>37</v>
      </c>
      <c r="D103" s="1" t="s">
        <v>38</v>
      </c>
    </row>
    <row r="104" spans="1:4" x14ac:dyDescent="0.2">
      <c r="A104" s="10">
        <v>1</v>
      </c>
      <c r="B104" s="10">
        <f>D77</f>
        <v>35500</v>
      </c>
      <c r="C104" s="3">
        <f>$C$98</f>
        <v>23.887499999999999</v>
      </c>
      <c r="D104" s="14">
        <f>B104/C104</f>
        <v>1486.1329147043434</v>
      </c>
    </row>
    <row r="105" spans="1:4" x14ac:dyDescent="0.2">
      <c r="A105" s="2">
        <v>5</v>
      </c>
      <c r="B105" s="10">
        <f t="shared" ref="B105:B107" si="15">D78</f>
        <v>37500</v>
      </c>
      <c r="C105" s="3">
        <f t="shared" ref="C105:C107" si="16">$C$98</f>
        <v>23.887499999999999</v>
      </c>
      <c r="D105" s="14">
        <f>B105/C105</f>
        <v>1569.8587127158555</v>
      </c>
    </row>
    <row r="106" spans="1:4" x14ac:dyDescent="0.2">
      <c r="A106" s="2">
        <v>10</v>
      </c>
      <c r="B106" s="10">
        <f t="shared" si="15"/>
        <v>40000</v>
      </c>
      <c r="C106" s="3">
        <f t="shared" si="16"/>
        <v>23.887499999999999</v>
      </c>
      <c r="D106" s="14">
        <f>B106/C106</f>
        <v>1674.515960230246</v>
      </c>
    </row>
    <row r="107" spans="1:4" x14ac:dyDescent="0.2">
      <c r="A107" s="10">
        <v>25</v>
      </c>
      <c r="B107" s="10">
        <f t="shared" si="15"/>
        <v>47500</v>
      </c>
      <c r="C107" s="3">
        <f t="shared" si="16"/>
        <v>23.887499999999999</v>
      </c>
      <c r="D107" s="14">
        <f>B107/C107</f>
        <v>1988.4877027734171</v>
      </c>
    </row>
    <row r="110" spans="1:4" x14ac:dyDescent="0.2">
      <c r="A110" s="9" t="s">
        <v>39</v>
      </c>
    </row>
    <row r="111" spans="1:4" x14ac:dyDescent="0.2">
      <c r="A111" s="13" t="s">
        <v>22</v>
      </c>
      <c r="B111" s="1" t="s">
        <v>35</v>
      </c>
      <c r="C111" s="1" t="s">
        <v>37</v>
      </c>
      <c r="D111" s="1" t="s">
        <v>38</v>
      </c>
    </row>
    <row r="112" spans="1:4" x14ac:dyDescent="0.2">
      <c r="A112" s="10">
        <v>1</v>
      </c>
      <c r="B112" s="10">
        <f>B104</f>
        <v>35500</v>
      </c>
      <c r="C112" s="3">
        <f>$C$99</f>
        <v>28.664999999999999</v>
      </c>
      <c r="D112" s="14">
        <f>B112/C112</f>
        <v>1238.4440955869527</v>
      </c>
    </row>
    <row r="113" spans="1:8" x14ac:dyDescent="0.2">
      <c r="A113" s="2">
        <v>5</v>
      </c>
      <c r="B113" s="10">
        <f t="shared" ref="B113:B115" si="17">B105</f>
        <v>37500</v>
      </c>
      <c r="C113" s="3">
        <f t="shared" ref="C113:C115" si="18">$C$99</f>
        <v>28.664999999999999</v>
      </c>
      <c r="D113" s="14">
        <f>B113/C113</f>
        <v>1308.2155939298798</v>
      </c>
      <c r="H113" s="21"/>
    </row>
    <row r="114" spans="1:8" x14ac:dyDescent="0.2">
      <c r="A114" s="2">
        <v>10</v>
      </c>
      <c r="B114" s="10">
        <f t="shared" si="17"/>
        <v>40000</v>
      </c>
      <c r="C114" s="3">
        <f t="shared" si="18"/>
        <v>28.664999999999999</v>
      </c>
      <c r="D114" s="14">
        <f>B114/C114</f>
        <v>1395.4299668585384</v>
      </c>
    </row>
    <row r="115" spans="1:8" x14ac:dyDescent="0.2">
      <c r="A115" s="10">
        <v>25</v>
      </c>
      <c r="B115" s="10">
        <f t="shared" si="17"/>
        <v>47500</v>
      </c>
      <c r="C115" s="3">
        <f t="shared" si="18"/>
        <v>28.664999999999999</v>
      </c>
      <c r="D115" s="14">
        <f>B115/C115</f>
        <v>1657.0730856445143</v>
      </c>
    </row>
    <row r="118" spans="1:8" x14ac:dyDescent="0.2">
      <c r="A118" s="9" t="s">
        <v>40</v>
      </c>
    </row>
    <row r="119" spans="1:8" x14ac:dyDescent="0.2">
      <c r="A119" s="13" t="s">
        <v>22</v>
      </c>
      <c r="B119" s="1" t="s">
        <v>35</v>
      </c>
      <c r="C119" s="1" t="s">
        <v>37</v>
      </c>
      <c r="D119" s="1" t="s">
        <v>38</v>
      </c>
    </row>
    <row r="120" spans="1:8" x14ac:dyDescent="0.2">
      <c r="A120" s="10">
        <v>1</v>
      </c>
      <c r="B120" s="10">
        <f>B112</f>
        <v>35500</v>
      </c>
      <c r="C120" s="3">
        <f>$C$100</f>
        <v>33.442499999999995</v>
      </c>
      <c r="D120" s="14">
        <f>B120/C120</f>
        <v>1061.5235105031024</v>
      </c>
    </row>
    <row r="121" spans="1:8" x14ac:dyDescent="0.2">
      <c r="A121" s="2">
        <v>5</v>
      </c>
      <c r="B121" s="10">
        <f t="shared" ref="B121:B123" si="19">B113</f>
        <v>37500</v>
      </c>
      <c r="C121" s="3">
        <f t="shared" ref="C121:C122" si="20">$C$100</f>
        <v>33.442499999999995</v>
      </c>
      <c r="D121" s="14">
        <f>B121/C121</f>
        <v>1121.3276519398969</v>
      </c>
    </row>
    <row r="122" spans="1:8" x14ac:dyDescent="0.2">
      <c r="A122" s="2">
        <v>10</v>
      </c>
      <c r="B122" s="10">
        <f t="shared" si="19"/>
        <v>40000</v>
      </c>
      <c r="C122" s="3">
        <f t="shared" si="20"/>
        <v>33.442499999999995</v>
      </c>
      <c r="D122" s="14">
        <f>B122/C122</f>
        <v>1196.0828287358902</v>
      </c>
    </row>
    <row r="123" spans="1:8" x14ac:dyDescent="0.2">
      <c r="A123" s="10">
        <v>25</v>
      </c>
      <c r="B123" s="10">
        <f t="shared" si="19"/>
        <v>47500</v>
      </c>
      <c r="C123" s="3">
        <f>$C$100</f>
        <v>33.442499999999995</v>
      </c>
      <c r="D123" s="14">
        <f>B123/C123</f>
        <v>1420.3483591238696</v>
      </c>
    </row>
    <row r="129" spans="1:4" x14ac:dyDescent="0.2">
      <c r="A129" s="9" t="s">
        <v>36</v>
      </c>
    </row>
    <row r="130" spans="1:4" x14ac:dyDescent="0.2">
      <c r="A130" s="13" t="s">
        <v>22</v>
      </c>
      <c r="B130" s="1" t="s">
        <v>24</v>
      </c>
      <c r="C130" s="1" t="s">
        <v>37</v>
      </c>
      <c r="D130" s="1" t="s">
        <v>38</v>
      </c>
    </row>
    <row r="131" spans="1:4" x14ac:dyDescent="0.2">
      <c r="A131" s="10">
        <v>1</v>
      </c>
      <c r="B131" s="10">
        <f>500*A131</f>
        <v>500</v>
      </c>
      <c r="C131" s="3">
        <f>$C$98</f>
        <v>23.887499999999999</v>
      </c>
      <c r="D131" s="14">
        <f>B131/C131</f>
        <v>20.931449502878074</v>
      </c>
    </row>
    <row r="132" spans="1:4" x14ac:dyDescent="0.2">
      <c r="A132" s="2">
        <v>5</v>
      </c>
      <c r="B132" s="10">
        <f t="shared" ref="B132:B134" si="21">500*A132</f>
        <v>2500</v>
      </c>
      <c r="C132" s="3">
        <f t="shared" ref="C132:C134" si="22">$C$98</f>
        <v>23.887499999999999</v>
      </c>
      <c r="D132" s="14">
        <f>B132/C132</f>
        <v>104.65724751439038</v>
      </c>
    </row>
    <row r="133" spans="1:4" x14ac:dyDescent="0.2">
      <c r="A133" s="2">
        <v>10</v>
      </c>
      <c r="B133" s="10">
        <f t="shared" si="21"/>
        <v>5000</v>
      </c>
      <c r="C133" s="3">
        <f t="shared" si="22"/>
        <v>23.887499999999999</v>
      </c>
      <c r="D133" s="14">
        <f>B133/C133</f>
        <v>209.31449502878075</v>
      </c>
    </row>
    <row r="134" spans="1:4" x14ac:dyDescent="0.2">
      <c r="A134" s="10">
        <v>25</v>
      </c>
      <c r="B134" s="10">
        <f t="shared" si="21"/>
        <v>12500</v>
      </c>
      <c r="C134" s="3">
        <f t="shared" si="22"/>
        <v>23.887499999999999</v>
      </c>
      <c r="D134" s="14">
        <f>B134/C134</f>
        <v>523.28623757195192</v>
      </c>
    </row>
    <row r="137" spans="1:4" x14ac:dyDescent="0.2">
      <c r="A137" s="9" t="s">
        <v>39</v>
      </c>
    </row>
    <row r="138" spans="1:4" x14ac:dyDescent="0.2">
      <c r="A138" s="13" t="s">
        <v>22</v>
      </c>
      <c r="B138" s="1" t="s">
        <v>24</v>
      </c>
      <c r="C138" s="1" t="s">
        <v>37</v>
      </c>
      <c r="D138" s="1" t="s">
        <v>38</v>
      </c>
    </row>
    <row r="139" spans="1:4" x14ac:dyDescent="0.2">
      <c r="A139" s="10">
        <v>1</v>
      </c>
      <c r="B139" s="10">
        <f>B131</f>
        <v>500</v>
      </c>
      <c r="C139" s="3">
        <f>$C$99</f>
        <v>28.664999999999999</v>
      </c>
      <c r="D139" s="14">
        <f>B139/C139</f>
        <v>17.44287458573173</v>
      </c>
    </row>
    <row r="140" spans="1:4" x14ac:dyDescent="0.2">
      <c r="A140" s="2">
        <v>5</v>
      </c>
      <c r="B140" s="10">
        <f t="shared" ref="B140:B142" si="23">B132</f>
        <v>2500</v>
      </c>
      <c r="C140" s="3">
        <f t="shared" ref="C140:C142" si="24">$C$99</f>
        <v>28.664999999999999</v>
      </c>
      <c r="D140" s="14">
        <f>B140/C140</f>
        <v>87.214372928658648</v>
      </c>
    </row>
    <row r="141" spans="1:4" x14ac:dyDescent="0.2">
      <c r="A141" s="2">
        <v>10</v>
      </c>
      <c r="B141" s="10">
        <f t="shared" si="23"/>
        <v>5000</v>
      </c>
      <c r="C141" s="3">
        <f t="shared" si="24"/>
        <v>28.664999999999999</v>
      </c>
      <c r="D141" s="14">
        <f>B141/C141</f>
        <v>174.4287458573173</v>
      </c>
    </row>
    <row r="142" spans="1:4" x14ac:dyDescent="0.2">
      <c r="A142" s="10">
        <v>25</v>
      </c>
      <c r="B142" s="10">
        <f t="shared" si="23"/>
        <v>12500</v>
      </c>
      <c r="C142" s="3">
        <f t="shared" si="24"/>
        <v>28.664999999999999</v>
      </c>
      <c r="D142" s="14">
        <f>B142/C142</f>
        <v>436.07186464329322</v>
      </c>
    </row>
    <row r="145" spans="1:4" x14ac:dyDescent="0.2">
      <c r="A145" s="9" t="s">
        <v>40</v>
      </c>
    </row>
    <row r="146" spans="1:4" x14ac:dyDescent="0.2">
      <c r="A146" s="13" t="s">
        <v>22</v>
      </c>
      <c r="B146" s="1" t="s">
        <v>24</v>
      </c>
      <c r="C146" s="1" t="s">
        <v>37</v>
      </c>
      <c r="D146" s="1" t="s">
        <v>38</v>
      </c>
    </row>
    <row r="147" spans="1:4" x14ac:dyDescent="0.2">
      <c r="A147" s="10">
        <v>1</v>
      </c>
      <c r="B147" s="10">
        <f>B139</f>
        <v>500</v>
      </c>
      <c r="C147" s="3">
        <f>$C$100</f>
        <v>33.442499999999995</v>
      </c>
      <c r="D147" s="14">
        <f>B147/C147</f>
        <v>14.951035359198627</v>
      </c>
    </row>
    <row r="148" spans="1:4" x14ac:dyDescent="0.2">
      <c r="A148" s="2">
        <v>5</v>
      </c>
      <c r="B148" s="10">
        <f t="shared" ref="B148:B150" si="25">B140</f>
        <v>2500</v>
      </c>
      <c r="C148" s="3">
        <f t="shared" ref="C148:C149" si="26">$C$100</f>
        <v>33.442499999999995</v>
      </c>
      <c r="D148" s="14">
        <f>B148/C148</f>
        <v>74.755176795993137</v>
      </c>
    </row>
    <row r="149" spans="1:4" x14ac:dyDescent="0.2">
      <c r="A149" s="2">
        <v>10</v>
      </c>
      <c r="B149" s="10">
        <f t="shared" si="25"/>
        <v>5000</v>
      </c>
      <c r="C149" s="3">
        <f t="shared" si="26"/>
        <v>33.442499999999995</v>
      </c>
      <c r="D149" s="14">
        <f>B149/C149</f>
        <v>149.51035359198627</v>
      </c>
    </row>
    <row r="150" spans="1:4" x14ac:dyDescent="0.2">
      <c r="A150" s="10">
        <v>25</v>
      </c>
      <c r="B150" s="10">
        <f t="shared" si="25"/>
        <v>12500</v>
      </c>
      <c r="C150" s="3">
        <f>$C$100</f>
        <v>33.442499999999995</v>
      </c>
      <c r="D150" s="14">
        <f>B150/C150</f>
        <v>373.77588397996567</v>
      </c>
    </row>
  </sheetData>
  <mergeCells count="1">
    <mergeCell ref="A1:I1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Microsoft Office User</cp:lastModifiedBy>
  <dcterms:created xsi:type="dcterms:W3CDTF">2013-06-06T18:05:10Z</dcterms:created>
  <dcterms:modified xsi:type="dcterms:W3CDTF">2021-01-13T02:44:42Z</dcterms:modified>
</cp:coreProperties>
</file>
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810"/>
  <workbookPr showInkAnnotation="0"/>
  <mc:AlternateContent xmlns:mc="http://schemas.openxmlformats.org/markup-compatibility/2006">
    <mc:Choice Requires="x15">
      <x15ac:absPath xmlns:x15ac="http://schemas.microsoft.com/office/spreadsheetml/2010/11/ac" url="/Users/jacquelineyan/Desktop/CASEBOOK SOLUTIONS/"/>
    </mc:Choice>
  </mc:AlternateContent>
  <bookViews>
    <workbookView xWindow="160" yWindow="460" windowWidth="19440" windowHeight="1548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2" i="1" l="1"/>
  <c r="C31" i="1"/>
  <c r="C29" i="1"/>
  <c r="C28" i="1"/>
  <c r="C26" i="1"/>
  <c r="C24" i="1"/>
  <c r="C22" i="1"/>
  <c r="C20" i="1"/>
  <c r="C18" i="1"/>
  <c r="C17" i="1"/>
  <c r="C15" i="1"/>
  <c r="C14" i="1"/>
  <c r="C10" i="1"/>
  <c r="C7" i="1"/>
  <c r="C5" i="1"/>
  <c r="C4" i="1"/>
</calcChain>
</file>

<file path=xl/sharedStrings.xml><?xml version="1.0" encoding="utf-8"?>
<sst xmlns="http://schemas.openxmlformats.org/spreadsheetml/2006/main" count="41" uniqueCount="37">
  <si>
    <t>Eastern Talon Transport</t>
  </si>
  <si>
    <t>Differential Analysis</t>
  </si>
  <si>
    <t>Inflows:</t>
  </si>
  <si>
    <t>Outflows:</t>
  </si>
  <si>
    <t>Investments:</t>
  </si>
  <si>
    <t>Manager Salaries</t>
  </si>
  <si>
    <t>2(65k+8k)</t>
  </si>
  <si>
    <t>Dispatchers</t>
  </si>
  <si>
    <t>10(45k+8k)</t>
  </si>
  <si>
    <t>*need 35 workers</t>
  </si>
  <si>
    <t>Lease Savings</t>
  </si>
  <si>
    <t>TOTAL</t>
  </si>
  <si>
    <t>Net Cash Flow</t>
  </si>
  <si>
    <t>Management</t>
  </si>
  <si>
    <t>Relocating Managers</t>
  </si>
  <si>
    <t>Severance</t>
  </si>
  <si>
    <t>Dispatchers moved</t>
  </si>
  <si>
    <t>Compensation</t>
  </si>
  <si>
    <t>Moving Costs</t>
  </si>
  <si>
    <t>New employers in Sauga</t>
  </si>
  <si>
    <t>Training</t>
  </si>
  <si>
    <t>EI payment</t>
  </si>
  <si>
    <t>Dispatchers displacing Sales Rep</t>
  </si>
  <si>
    <t>Sales Rep Displaced by Senior Dispatchers</t>
  </si>
  <si>
    <t>3*55k</t>
  </si>
  <si>
    <t>2*150k</t>
  </si>
  <si>
    <t>9*45k</t>
  </si>
  <si>
    <t>9*2.5k</t>
  </si>
  <si>
    <t>26*3k</t>
  </si>
  <si>
    <t>6*5k</t>
  </si>
  <si>
    <t>Dispatchers terminated &lt;10 years</t>
  </si>
  <si>
    <t>24*1.5k</t>
  </si>
  <si>
    <t>24*5k</t>
  </si>
  <si>
    <t>Dispatchers unable to relocate &gt;10years</t>
  </si>
  <si>
    <t>6*100k</t>
  </si>
  <si>
    <t>ROI</t>
  </si>
  <si>
    <t>Payback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</si>
</sst>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-&quot;$&quot;* #,##0_-;\-&quot;$&quot;* #,##0_-;_-&quot;$&quot;* &quot;-&quot;??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 val="singleAccounting"/>
      <sz val="12"/>
      <color theme="1"/>
      <name val="Calibri"/>
      <family val="2"/>
      <scheme val="minor"/>
    </font>
    <font>
      <i/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166" fontId="0" fillId="0" borderId="0" xfId="2" applyNumberFormat="1" applyFont="1"/>
    <xf numFmtId="166" fontId="3" fillId="0" borderId="0" xfId="2" applyNumberFormat="1" applyFont="1"/>
    <xf numFmtId="166" fontId="2" fillId="0" borderId="0" xfId="2" applyNumberFormat="1" applyFont="1"/>
    <xf numFmtId="0" fontId="4" fillId="0" borderId="0" xfId="0" applyFont="1"/>
    <xf numFmtId="0" fontId="0" fillId="0" borderId="0" xfId="0" applyFont="1"/>
    <xf numFmtId="165" fontId="0" fillId="0" borderId="0" xfId="1" applyFont="1"/>
    <xf numFmtId="9" fontId="0" fillId="0" borderId="0" xfId="3" applyFont="1"/>
    <xf numFmtId="0" fontId="0" fillId="0" borderId="0" xfId="0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workbookViewId="0">
      <selection activeCell="C6" sqref="C6"/>
    </sheetView>
  </sheetViews>
  <sheetFormatPr baseColWidth="10" defaultRowHeight="16" x14ac:dyDescent="0.2"/>
  <cols>
    <col min="1" max="1" width="35.1640625" customWidth="1"/>
    <col min="2" max="2" width="15.6640625" customWidth="1"/>
    <col min="3" max="3" width="12.5" style="2" bestFit="1" customWidth="1"/>
  </cols>
  <sheetData>
    <row r="1" spans="1:6" x14ac:dyDescent="0.2">
      <c r="A1" s="9" t="s">
        <v>0</v>
      </c>
      <c r="B1" s="9"/>
      <c r="C1" s="9"/>
      <c r="D1" s="9"/>
      <c r="E1" s="9"/>
    </row>
    <row r="2" spans="1:6" x14ac:dyDescent="0.2">
      <c r="A2" s="9" t="s">
        <v>1</v>
      </c>
      <c r="B2" s="9"/>
      <c r="C2" s="9"/>
      <c r="D2" s="9"/>
      <c r="E2" s="9"/>
      <c r="F2" t="s">
        <v>9</v>
      </c>
    </row>
    <row r="3" spans="1:6" x14ac:dyDescent="0.2">
      <c r="A3" s="1" t="s">
        <v>2</v>
      </c>
    </row>
    <row r="4" spans="1:6" x14ac:dyDescent="0.2">
      <c r="A4" t="s">
        <v>5</v>
      </c>
      <c r="B4" t="s">
        <v>6</v>
      </c>
      <c r="C4" s="2">
        <f>2*73000</f>
        <v>146000</v>
      </c>
    </row>
    <row r="5" spans="1:6" x14ac:dyDescent="0.2">
      <c r="A5" t="s">
        <v>7</v>
      </c>
      <c r="B5" t="s">
        <v>8</v>
      </c>
      <c r="C5" s="2">
        <f>10*53000</f>
        <v>530000</v>
      </c>
    </row>
    <row r="6" spans="1:6" ht="19" x14ac:dyDescent="0.35">
      <c r="A6" t="s">
        <v>10</v>
      </c>
      <c r="C6" s="3">
        <v>500000</v>
      </c>
    </row>
    <row r="7" spans="1:6" x14ac:dyDescent="0.2">
      <c r="A7" t="s">
        <v>11</v>
      </c>
      <c r="C7" s="2">
        <f>SUM(C4:C6)</f>
        <v>1176000</v>
      </c>
    </row>
    <row r="9" spans="1:6" ht="19" x14ac:dyDescent="0.35">
      <c r="A9" s="1" t="s">
        <v>3</v>
      </c>
      <c r="C9" s="3">
        <v>0</v>
      </c>
    </row>
    <row r="10" spans="1:6" x14ac:dyDescent="0.2">
      <c r="A10" s="1" t="s">
        <v>12</v>
      </c>
      <c r="C10" s="4">
        <f>C7-C9</f>
        <v>1176000</v>
      </c>
    </row>
    <row r="12" spans="1:6" x14ac:dyDescent="0.2">
      <c r="A12" s="1" t="s">
        <v>4</v>
      </c>
    </row>
    <row r="13" spans="1:6" x14ac:dyDescent="0.2">
      <c r="A13" s="5" t="s">
        <v>13</v>
      </c>
    </row>
    <row r="14" spans="1:6" x14ac:dyDescent="0.2">
      <c r="A14" s="6" t="s">
        <v>14</v>
      </c>
      <c r="B14" t="s">
        <v>24</v>
      </c>
      <c r="C14" s="2">
        <f>3*55000</f>
        <v>165000</v>
      </c>
    </row>
    <row r="15" spans="1:6" x14ac:dyDescent="0.2">
      <c r="A15" s="6" t="s">
        <v>15</v>
      </c>
      <c r="B15" t="s">
        <v>25</v>
      </c>
      <c r="C15" s="2">
        <f>2*150000</f>
        <v>300000</v>
      </c>
    </row>
    <row r="16" spans="1:6" x14ac:dyDescent="0.2">
      <c r="A16" s="5" t="s">
        <v>16</v>
      </c>
    </row>
    <row r="17" spans="1:3" x14ac:dyDescent="0.2">
      <c r="A17" t="s">
        <v>17</v>
      </c>
      <c r="B17" t="s">
        <v>26</v>
      </c>
      <c r="C17" s="2">
        <f>9*45000</f>
        <v>405000</v>
      </c>
    </row>
    <row r="18" spans="1:3" x14ac:dyDescent="0.2">
      <c r="A18" t="s">
        <v>18</v>
      </c>
      <c r="B18" t="s">
        <v>27</v>
      </c>
      <c r="C18" s="2">
        <f>9*2500</f>
        <v>22500</v>
      </c>
    </row>
    <row r="19" spans="1:3" x14ac:dyDescent="0.2">
      <c r="A19" s="5" t="s">
        <v>19</v>
      </c>
    </row>
    <row r="20" spans="1:3" x14ac:dyDescent="0.2">
      <c r="A20" t="s">
        <v>20</v>
      </c>
      <c r="B20" t="s">
        <v>28</v>
      </c>
      <c r="C20" s="2">
        <f>26*3000</f>
        <v>78000</v>
      </c>
    </row>
    <row r="21" spans="1:3" x14ac:dyDescent="0.2">
      <c r="A21" s="5" t="s">
        <v>30</v>
      </c>
    </row>
    <row r="22" spans="1:3" x14ac:dyDescent="0.2">
      <c r="A22" t="s">
        <v>21</v>
      </c>
      <c r="B22" t="s">
        <v>29</v>
      </c>
      <c r="C22" s="2">
        <f>6*5000</f>
        <v>30000</v>
      </c>
    </row>
    <row r="23" spans="1:3" x14ac:dyDescent="0.2">
      <c r="A23" s="5" t="s">
        <v>22</v>
      </c>
    </row>
    <row r="24" spans="1:3" x14ac:dyDescent="0.2">
      <c r="A24" t="s">
        <v>20</v>
      </c>
      <c r="B24" t="s">
        <v>31</v>
      </c>
      <c r="C24" s="2">
        <f>24*1500</f>
        <v>36000</v>
      </c>
    </row>
    <row r="25" spans="1:3" x14ac:dyDescent="0.2">
      <c r="A25" s="5" t="s">
        <v>23</v>
      </c>
    </row>
    <row r="26" spans="1:3" x14ac:dyDescent="0.2">
      <c r="A26" t="s">
        <v>21</v>
      </c>
      <c r="B26" t="s">
        <v>32</v>
      </c>
      <c r="C26" s="2">
        <f>24*5000</f>
        <v>120000</v>
      </c>
    </row>
    <row r="27" spans="1:3" x14ac:dyDescent="0.2">
      <c r="A27" s="5" t="s">
        <v>33</v>
      </c>
    </row>
    <row r="28" spans="1:3" ht="19" x14ac:dyDescent="0.35">
      <c r="A28" t="s">
        <v>15</v>
      </c>
      <c r="B28" t="s">
        <v>34</v>
      </c>
      <c r="C28" s="3">
        <f>6*100000</f>
        <v>600000</v>
      </c>
    </row>
    <row r="29" spans="1:3" x14ac:dyDescent="0.2">
      <c r="A29" s="5" t="s">
        <v>11</v>
      </c>
      <c r="C29" s="2">
        <f>SUM(C14:C28)</f>
        <v>1756500</v>
      </c>
    </row>
    <row r="31" spans="1:3" x14ac:dyDescent="0.2">
      <c r="A31" s="5" t="s">
        <v>35</v>
      </c>
      <c r="C31" s="8">
        <f>C10/C29</f>
        <v>0.66951323654995731</v>
      </c>
    </row>
    <row r="32" spans="1:3" x14ac:dyDescent="0.2">
      <c r="A32" s="5" t="s">
        <v>36</v>
      </c>
      <c r="C32" s="7">
        <f>C29/C10</f>
        <v>1.4936224489795917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2017-04-09T01:33:01Z</dcterms:created>
  <dcterms:modified xsi:type="dcterms:W3CDTF">2018-03-19T15:41:57Z</dcterms:modified>
</cp:coreProperties>
</file>
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28810"/>
  <workbookPr/>
  <mc:AlternateContent xmlns:mc="http://schemas.openxmlformats.org/markup-compatibility/2006">
    <mc:Choice Requires="x15">
      <x15ac:absPath xmlns:x15ac="http://schemas.microsoft.com/office/spreadsheetml/2010/11/ac" url="/Users/jacquelineyan/Desktop/CASEBOOK SOLUTIONS/"/>
    </mc:Choice>
  </mc:AlternateContent>
  <bookViews>
    <workbookView xWindow="0" yWindow="460" windowWidth="28800" windowHeight="17460" tabRatio="500" activeTab="1"/>
  </bookViews>
  <sheets>
    <sheet name=" 3.5" sheetId="1" r:id="rId1"/>
    <sheet name="Differential " sheetId="4" r:id="rId2"/>
    <sheet name="Income Statement + BS" sheetId="5" r:id="rId3"/>
  </sheets>
  <calcPr calcId="150000" concurrentCalc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G8" i="4" l="1"/>
  <c r="C8" i="4"/>
  <c r="P5" i="5"/>
  <c r="J21" i="5"/>
  <c r="J26" i="5"/>
  <c r="J24" i="5"/>
  <c r="J23" i="5"/>
  <c r="J22" i="5"/>
  <c r="J20" i="5"/>
  <c r="J19" i="5"/>
  <c r="J18" i="5"/>
  <c r="J12" i="5"/>
  <c r="G10" i="4"/>
  <c r="C10" i="4"/>
  <c r="G9" i="4"/>
  <c r="C9" i="4"/>
  <c r="C23" i="4"/>
  <c r="I14" i="5"/>
  <c r="C15" i="4"/>
  <c r="C21" i="4"/>
  <c r="I10" i="5"/>
  <c r="C22" i="4"/>
  <c r="J16" i="5"/>
  <c r="C16" i="4"/>
  <c r="J17" i="5"/>
  <c r="I43" i="5"/>
  <c r="G16" i="4"/>
  <c r="J4" i="5"/>
  <c r="D4" i="5"/>
  <c r="P6" i="5"/>
  <c r="J5" i="5"/>
  <c r="J6" i="5"/>
  <c r="J7" i="5"/>
  <c r="I9" i="5"/>
  <c r="J11" i="5"/>
  <c r="I13" i="5"/>
  <c r="J15" i="5"/>
  <c r="I30" i="5"/>
  <c r="J31" i="5"/>
  <c r="J32" i="5"/>
  <c r="J34" i="5"/>
  <c r="J35" i="5"/>
  <c r="P20" i="5"/>
  <c r="P21" i="5"/>
  <c r="P26" i="5"/>
  <c r="P30" i="5"/>
  <c r="J36" i="5"/>
  <c r="P34" i="5"/>
  <c r="P35" i="5"/>
  <c r="P36" i="5"/>
  <c r="N40" i="5"/>
  <c r="P7" i="5"/>
  <c r="P13" i="5"/>
  <c r="P14" i="5"/>
  <c r="P15" i="5"/>
  <c r="J3" i="5"/>
  <c r="D3" i="5"/>
  <c r="D6" i="5"/>
  <c r="K36" i="5"/>
  <c r="C8" i="5"/>
  <c r="D10" i="5"/>
  <c r="D11" i="5"/>
  <c r="C12" i="5"/>
  <c r="D14" i="5"/>
  <c r="D15" i="5"/>
  <c r="D16" i="5"/>
  <c r="D17" i="5"/>
  <c r="D18" i="5"/>
  <c r="D19" i="5"/>
  <c r="D20" i="5"/>
  <c r="D21" i="5"/>
  <c r="D23" i="5"/>
  <c r="D28" i="5"/>
  <c r="D29" i="5"/>
  <c r="D31" i="5"/>
  <c r="D32" i="5"/>
  <c r="D33" i="5"/>
  <c r="E33" i="5"/>
  <c r="K34" i="5"/>
  <c r="E31" i="5"/>
  <c r="K29" i="5"/>
  <c r="K30" i="5"/>
  <c r="K32" i="5"/>
  <c r="E26" i="5"/>
  <c r="E27" i="5"/>
  <c r="E29" i="5"/>
  <c r="G15" i="4"/>
  <c r="G21" i="4"/>
  <c r="G22" i="4"/>
  <c r="G23" i="4"/>
  <c r="G25" i="4"/>
  <c r="G18" i="4"/>
  <c r="G27" i="4"/>
  <c r="G7" i="4"/>
  <c r="C7" i="4"/>
  <c r="G6" i="4"/>
  <c r="G30" i="4"/>
  <c r="C6" i="4"/>
  <c r="C18" i="4"/>
  <c r="C25" i="4"/>
  <c r="C27" i="4"/>
  <c r="C30" i="4"/>
  <c r="G29" i="4"/>
  <c r="C29" i="4"/>
  <c r="C9" i="1"/>
  <c r="G9" i="1"/>
  <c r="G8" i="1"/>
  <c r="C8" i="1"/>
  <c r="C28" i="1"/>
  <c r="C22" i="1"/>
  <c r="G22" i="1"/>
  <c r="G7" i="1"/>
  <c r="C7" i="1"/>
  <c r="G24" i="1"/>
  <c r="G26" i="1"/>
  <c r="G29" i="1"/>
  <c r="C24" i="1"/>
  <c r="C26" i="1"/>
  <c r="C29" i="1"/>
  <c r="G28" i="1"/>
  <c r="G21" i="1"/>
  <c r="G14" i="1"/>
  <c r="G20" i="1"/>
  <c r="G15" i="1"/>
  <c r="G17" i="1"/>
  <c r="G6" i="1"/>
  <c r="C14" i="1"/>
  <c r="C20" i="1"/>
  <c r="C21" i="1"/>
  <c r="C15" i="1"/>
  <c r="C17" i="1"/>
  <c r="C6" i="1"/>
</calcChain>
</file>

<file path=xl/sharedStrings.xml><?xml version="1.0" encoding="utf-8"?>
<sst xmlns="http://schemas.openxmlformats.org/spreadsheetml/2006/main" count="249" uniqueCount="121">
  <si>
    <t>Investments</t>
  </si>
  <si>
    <t xml:space="preserve">Equipment </t>
  </si>
  <si>
    <t>Trucks</t>
  </si>
  <si>
    <t>Total</t>
  </si>
  <si>
    <t>Contracts</t>
  </si>
  <si>
    <t>Revenue per contract</t>
  </si>
  <si>
    <t>Revenue (Additional)</t>
  </si>
  <si>
    <t>Inflow</t>
  </si>
  <si>
    <t>Outflow</t>
  </si>
  <si>
    <t>Expenses</t>
  </si>
  <si>
    <t>Construction Expenses</t>
  </si>
  <si>
    <t>Employee (operators)</t>
  </si>
  <si>
    <t>4*10h*6days*30$*7*16</t>
  </si>
  <si>
    <t>Employee (supervisor)</t>
  </si>
  <si>
    <t>90 000 * 4</t>
  </si>
  <si>
    <t>Employee(Admin)</t>
  </si>
  <si>
    <t>35 000</t>
  </si>
  <si>
    <t>Training</t>
  </si>
  <si>
    <t xml:space="preserve">Training </t>
  </si>
  <si>
    <t>35000 / 12</t>
  </si>
  <si>
    <t>90 000/12  *4</t>
  </si>
  <si>
    <t>Top Soils Savings</t>
  </si>
  <si>
    <t>Subcontracting Savings</t>
  </si>
  <si>
    <t>700 000</t>
  </si>
  <si>
    <t>10% of Top Soil sales 0.1*0.15* 7 263 015</t>
  </si>
  <si>
    <t>90 000/12  *8</t>
  </si>
  <si>
    <t>4*10h*6days*30$*15*16</t>
  </si>
  <si>
    <t>90 000 * 8</t>
  </si>
  <si>
    <t>Net gain</t>
  </si>
  <si>
    <t>Net Gain</t>
  </si>
  <si>
    <t>ROI</t>
  </si>
  <si>
    <t>PayBack</t>
  </si>
  <si>
    <t>Years</t>
  </si>
  <si>
    <t>90 000/12  *3.5</t>
  </si>
  <si>
    <t>90 000/12  *7.5</t>
  </si>
  <si>
    <t>90 000 * 7.5</t>
  </si>
  <si>
    <t>90 000 * 3.5</t>
  </si>
  <si>
    <t>High (15)</t>
  </si>
  <si>
    <t>Low (7)</t>
  </si>
  <si>
    <t>Working Capital AR</t>
  </si>
  <si>
    <t xml:space="preserve">30 days of revenue </t>
  </si>
  <si>
    <t>30 Days of Revenue</t>
  </si>
  <si>
    <t xml:space="preserve">Revenue </t>
  </si>
  <si>
    <t>Sales</t>
  </si>
  <si>
    <t>Truck Expense</t>
  </si>
  <si>
    <t>Sub Contracts</t>
  </si>
  <si>
    <t>Salaries</t>
  </si>
  <si>
    <t>Purchases</t>
  </si>
  <si>
    <t>Management Wages</t>
  </si>
  <si>
    <t xml:space="preserve">Office General </t>
  </si>
  <si>
    <t>Int and bank</t>
  </si>
  <si>
    <t>Professional Fees</t>
  </si>
  <si>
    <t>Ad promo</t>
  </si>
  <si>
    <t>Telephone</t>
  </si>
  <si>
    <t>Rent</t>
  </si>
  <si>
    <t>Meals Entertainment</t>
  </si>
  <si>
    <t>Bad Debt Exp</t>
  </si>
  <si>
    <t xml:space="preserve">Gain on trucks </t>
  </si>
  <si>
    <t xml:space="preserve">Depreciation </t>
  </si>
  <si>
    <t>Total Expenses</t>
  </si>
  <si>
    <t>Net Income  b4 tax</t>
  </si>
  <si>
    <t>Income Tx</t>
  </si>
  <si>
    <t>Net Income after Tax</t>
  </si>
  <si>
    <t>Total Sales</t>
  </si>
  <si>
    <t>same $</t>
  </si>
  <si>
    <t>2% increase on 7263015*85%</t>
  </si>
  <si>
    <t>5% increase on 7263015*15%</t>
  </si>
  <si>
    <t xml:space="preserve">Top Soil </t>
  </si>
  <si>
    <t>old</t>
  </si>
  <si>
    <t>New</t>
  </si>
  <si>
    <t>Total Depreciation</t>
  </si>
  <si>
    <t>Salaries (New)</t>
  </si>
  <si>
    <t>Total Salaries</t>
  </si>
  <si>
    <t>Truck Expense New</t>
  </si>
  <si>
    <t>Total Truck Expense</t>
  </si>
  <si>
    <t>Income Statement  (Status Quo)</t>
  </si>
  <si>
    <t>Income Statement  (Expand Low)</t>
  </si>
  <si>
    <t>Excavating Sales</t>
  </si>
  <si>
    <t>Operator Wages</t>
  </si>
  <si>
    <t>Assets</t>
  </si>
  <si>
    <t>Current Assets</t>
  </si>
  <si>
    <t>Sales Original Biz</t>
  </si>
  <si>
    <t>Cash</t>
  </si>
  <si>
    <t>Fixed Assets</t>
  </si>
  <si>
    <t>Furniture</t>
  </si>
  <si>
    <t xml:space="preserve">Less: Acc Dep </t>
  </si>
  <si>
    <t>Total Capital Assets</t>
  </si>
  <si>
    <t>Total Assets</t>
  </si>
  <si>
    <t>Liabilities and Shareholders Equity</t>
  </si>
  <si>
    <t xml:space="preserve">Current Liabilities </t>
  </si>
  <si>
    <t xml:space="preserve">Income Taxes Payable </t>
  </si>
  <si>
    <t>Accounts Payable</t>
  </si>
  <si>
    <t>Current Portion Loan</t>
  </si>
  <si>
    <t>Shareholder loan</t>
  </si>
  <si>
    <t>Total Current Liabilities</t>
  </si>
  <si>
    <t>Long Term Loan</t>
  </si>
  <si>
    <t>Total Liabilities</t>
  </si>
  <si>
    <t>Shareholders Equity</t>
  </si>
  <si>
    <t>Common Stock</t>
  </si>
  <si>
    <t>Retined Earnings</t>
  </si>
  <si>
    <t>Total shareholders Equity</t>
  </si>
  <si>
    <t xml:space="preserve">Total Liability and Shareholders Equity </t>
  </si>
  <si>
    <t>Total Current Assets</t>
  </si>
  <si>
    <t>Days of AP</t>
  </si>
  <si>
    <t>AR (excavating)</t>
  </si>
  <si>
    <t>Plugged</t>
  </si>
  <si>
    <t>Wanted</t>
  </si>
  <si>
    <t>30 days</t>
  </si>
  <si>
    <t>AR ( old biz)</t>
  </si>
  <si>
    <t>10% of Top Soil sales 0.1*0.15* 7408275.3</t>
  </si>
  <si>
    <t>old + projected</t>
  </si>
  <si>
    <t>New stuff</t>
  </si>
  <si>
    <t>Balance Sheet (Expand Low)</t>
  </si>
  <si>
    <t>10% of Top Soil sales 0.1*0.15* 2012 revenue *105%</t>
  </si>
  <si>
    <t>Top Soil Savings</t>
  </si>
  <si>
    <t>AP</t>
  </si>
  <si>
    <t>700000 less (62.5 days worth) ap</t>
  </si>
  <si>
    <t xml:space="preserve">AP reduction </t>
  </si>
  <si>
    <t>moved to current</t>
  </si>
  <si>
    <t>68.5 days</t>
  </si>
  <si>
    <t>Bank loan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</si>
</sst>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  <numFmt numFmtId="165" formatCode="0.0%"/>
  </numFmts>
  <fonts count="4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5">
    <xf numFmtId="0" fontId="0" fillId="0" borderId="0" xfId="0"/>
    <xf numFmtId="44" fontId="0" fillId="0" borderId="0" xfId="2" applyFont="1"/>
    <xf numFmtId="44" fontId="0" fillId="0" borderId="0" xfId="0" applyNumberFormat="1"/>
    <xf numFmtId="9" fontId="0" fillId="0" borderId="0" xfId="3" applyFont="1"/>
    <xf numFmtId="164" fontId="0" fillId="0" borderId="0" xfId="1" applyNumberFormat="1" applyFont="1" applyAlignment="1">
      <alignment horizontal="left" indent="1"/>
    </xf>
    <xf numFmtId="13" fontId="0" fillId="0" borderId="0" xfId="0" applyNumberFormat="1"/>
    <xf numFmtId="0" fontId="2" fillId="0" borderId="0" xfId="0" applyFont="1"/>
    <xf numFmtId="2" fontId="0" fillId="0" borderId="0" xfId="0" applyNumberFormat="1"/>
    <xf numFmtId="0" fontId="0" fillId="0" borderId="0" xfId="0" applyAlignment="1">
      <alignment horizontal="center"/>
    </xf>
    <xf numFmtId="9" fontId="0" fillId="0" borderId="0" xfId="0" applyNumberFormat="1"/>
    <xf numFmtId="165" fontId="0" fillId="0" borderId="0" xfId="3" applyNumberFormat="1" applyFont="1"/>
    <xf numFmtId="44" fontId="0" fillId="0" borderId="1" xfId="2" applyFont="1" applyBorder="1"/>
    <xf numFmtId="0" fontId="0" fillId="0" borderId="1" xfId="0" applyBorder="1"/>
    <xf numFmtId="44" fontId="0" fillId="0" borderId="1" xfId="0" applyNumberFormat="1" applyBorder="1"/>
    <xf numFmtId="0" fontId="0" fillId="0" borderId="0" xfId="0" applyAlignment="1">
      <alignment horizontal="center"/>
    </xf>
  </cellXfs>
  <cellStyles count="4">
    <cellStyle name="Comma" xfId="1" builtinId="3"/>
    <cellStyle name="Currency" xfId="2" builtinId="4"/>
    <cellStyle name="Normal" xfId="0" builtinId="0"/>
    <cellStyle name="Percent" xfId="3" builtinId="5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Relationship Id="rId7" Type="http://schemas.openxmlformats.org/officeDocument/2006/relationships/calcChain" Target="calcChain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G29"/>
  <sheetViews>
    <sheetView workbookViewId="0">
      <selection activeCell="B37" sqref="B37"/>
    </sheetView>
  </sheetViews>
  <sheetFormatPr baseColWidth="10" defaultRowHeight="16" x14ac:dyDescent="0.2"/>
  <cols>
    <col min="1" max="1" width="21.1640625" customWidth="1"/>
    <col min="2" max="2" width="48.5" customWidth="1"/>
    <col min="3" max="3" width="15.5" customWidth="1"/>
    <col min="5" max="5" width="21.1640625" customWidth="1"/>
    <col min="6" max="6" width="38.33203125" customWidth="1"/>
    <col min="7" max="7" width="17.83203125" customWidth="1"/>
  </cols>
  <sheetData>
    <row r="2" spans="1:7" x14ac:dyDescent="0.2">
      <c r="B2" s="8" t="s">
        <v>38</v>
      </c>
      <c r="F2" s="8" t="s">
        <v>37</v>
      </c>
    </row>
    <row r="3" spans="1:7" x14ac:dyDescent="0.2">
      <c r="A3" s="6" t="s">
        <v>0</v>
      </c>
      <c r="C3" s="1"/>
      <c r="E3" s="6" t="s">
        <v>0</v>
      </c>
      <c r="G3" s="1"/>
    </row>
    <row r="4" spans="1:7" x14ac:dyDescent="0.2">
      <c r="A4" t="s">
        <v>1</v>
      </c>
      <c r="C4" s="1">
        <v>1385845</v>
      </c>
      <c r="E4" t="s">
        <v>1</v>
      </c>
      <c r="G4" s="1">
        <v>1385845</v>
      </c>
    </row>
    <row r="5" spans="1:7" x14ac:dyDescent="0.2">
      <c r="A5" t="s">
        <v>2</v>
      </c>
      <c r="C5" s="1">
        <v>1396721</v>
      </c>
      <c r="E5" t="s">
        <v>2</v>
      </c>
      <c r="G5" s="1">
        <v>1396721</v>
      </c>
    </row>
    <row r="6" spans="1:7" x14ac:dyDescent="0.2">
      <c r="A6" t="s">
        <v>17</v>
      </c>
      <c r="B6" s="5" t="s">
        <v>19</v>
      </c>
      <c r="C6" s="1">
        <f>35000/12</f>
        <v>2916.6666666666665</v>
      </c>
      <c r="E6" t="s">
        <v>17</v>
      </c>
      <c r="F6" s="5" t="s">
        <v>19</v>
      </c>
      <c r="G6" s="1">
        <f>35000/12</f>
        <v>2916.6666666666665</v>
      </c>
    </row>
    <row r="7" spans="1:7" x14ac:dyDescent="0.2">
      <c r="A7" t="s">
        <v>18</v>
      </c>
      <c r="B7" t="s">
        <v>33</v>
      </c>
      <c r="C7" s="1">
        <f>90000/12*3.5</f>
        <v>26250</v>
      </c>
      <c r="E7" t="s">
        <v>18</v>
      </c>
      <c r="F7" t="s">
        <v>34</v>
      </c>
      <c r="G7" s="1">
        <f>90000/12*7.5</f>
        <v>56250</v>
      </c>
    </row>
    <row r="8" spans="1:7" x14ac:dyDescent="0.2">
      <c r="A8" t="s">
        <v>39</v>
      </c>
      <c r="B8" t="s">
        <v>40</v>
      </c>
      <c r="C8" s="1">
        <f>C14/365 *30</f>
        <v>201369.86301369863</v>
      </c>
      <c r="D8" s="1"/>
      <c r="E8" s="1" t="s">
        <v>39</v>
      </c>
      <c r="F8" s="1" t="s">
        <v>41</v>
      </c>
      <c r="G8" s="1">
        <f t="shared" ref="G8" si="0">G14/365 *30</f>
        <v>431506.84931506845</v>
      </c>
    </row>
    <row r="9" spans="1:7" x14ac:dyDescent="0.2">
      <c r="A9" s="6" t="s">
        <v>3</v>
      </c>
      <c r="C9" s="1">
        <f>SUM(C4:C8)</f>
        <v>3013102.5296803652</v>
      </c>
      <c r="E9" s="6" t="s">
        <v>3</v>
      </c>
      <c r="G9" s="1">
        <f>SUM(G4:G8)</f>
        <v>3273239.5159817347</v>
      </c>
    </row>
    <row r="11" spans="1:7" x14ac:dyDescent="0.2">
      <c r="A11" s="6" t="s">
        <v>7</v>
      </c>
      <c r="C11" s="1"/>
      <c r="E11" s="6" t="s">
        <v>7</v>
      </c>
      <c r="G11" s="1"/>
    </row>
    <row r="12" spans="1:7" x14ac:dyDescent="0.2">
      <c r="A12" t="s">
        <v>4</v>
      </c>
      <c r="B12">
        <v>7</v>
      </c>
      <c r="C12" s="1"/>
      <c r="E12" t="s">
        <v>4</v>
      </c>
      <c r="F12">
        <v>15</v>
      </c>
      <c r="G12" s="1"/>
    </row>
    <row r="13" spans="1:7" x14ac:dyDescent="0.2">
      <c r="A13" t="s">
        <v>5</v>
      </c>
      <c r="B13" s="1">
        <v>350000</v>
      </c>
      <c r="C13" s="1"/>
      <c r="E13" t="s">
        <v>5</v>
      </c>
      <c r="F13" s="1">
        <v>350000</v>
      </c>
      <c r="G13" s="1"/>
    </row>
    <row r="14" spans="1:7" x14ac:dyDescent="0.2">
      <c r="A14" t="s">
        <v>6</v>
      </c>
      <c r="B14" s="1"/>
      <c r="C14" s="1">
        <f>B12*B13</f>
        <v>2450000</v>
      </c>
      <c r="E14" t="s">
        <v>6</v>
      </c>
      <c r="F14" s="1"/>
      <c r="G14" s="1">
        <f>F12*F13</f>
        <v>5250000</v>
      </c>
    </row>
    <row r="15" spans="1:7" x14ac:dyDescent="0.2">
      <c r="A15" t="s">
        <v>21</v>
      </c>
      <c r="B15" s="1" t="s">
        <v>24</v>
      </c>
      <c r="C15" s="1">
        <f>0.15*0.1*7263015</f>
        <v>108945.22499999999</v>
      </c>
      <c r="E15" t="s">
        <v>21</v>
      </c>
      <c r="F15" s="1" t="s">
        <v>24</v>
      </c>
      <c r="G15" s="1">
        <f>0.15*0.1*7263015</f>
        <v>108945.22499999999</v>
      </c>
    </row>
    <row r="16" spans="1:7" x14ac:dyDescent="0.2">
      <c r="A16" t="s">
        <v>22</v>
      </c>
      <c r="B16" s="1" t="s">
        <v>23</v>
      </c>
      <c r="C16" s="1">
        <v>700000</v>
      </c>
      <c r="E16" t="s">
        <v>22</v>
      </c>
      <c r="F16" s="1" t="s">
        <v>23</v>
      </c>
      <c r="G16" s="1">
        <v>700000</v>
      </c>
    </row>
    <row r="17" spans="1:7" x14ac:dyDescent="0.2">
      <c r="A17" s="6" t="s">
        <v>3</v>
      </c>
      <c r="C17" s="1">
        <f>SUM(C14:C16)</f>
        <v>3258945.2250000001</v>
      </c>
      <c r="E17" s="6" t="s">
        <v>3</v>
      </c>
      <c r="G17" s="1">
        <f>SUM(G14:G16)</f>
        <v>6058945.2249999996</v>
      </c>
    </row>
    <row r="19" spans="1:7" x14ac:dyDescent="0.2">
      <c r="A19" s="6" t="s">
        <v>8</v>
      </c>
      <c r="B19" s="1"/>
      <c r="C19" s="1"/>
      <c r="E19" s="6" t="s">
        <v>8</v>
      </c>
      <c r="F19" s="1"/>
      <c r="G19" s="1"/>
    </row>
    <row r="20" spans="1:7" x14ac:dyDescent="0.2">
      <c r="A20" t="s">
        <v>10</v>
      </c>
      <c r="B20" s="3">
        <v>0.25</v>
      </c>
      <c r="C20" s="1">
        <f>C14*B20</f>
        <v>612500</v>
      </c>
      <c r="E20" t="s">
        <v>10</v>
      </c>
      <c r="F20" s="3">
        <v>0.25</v>
      </c>
      <c r="G20" s="1">
        <f>G14*F20</f>
        <v>1312500</v>
      </c>
    </row>
    <row r="21" spans="1:7" x14ac:dyDescent="0.2">
      <c r="A21" t="s">
        <v>11</v>
      </c>
      <c r="B21" s="4" t="s">
        <v>12</v>
      </c>
      <c r="C21" s="1">
        <f>4*10*6*30*16*7</f>
        <v>806400</v>
      </c>
      <c r="E21" t="s">
        <v>11</v>
      </c>
      <c r="F21" s="4" t="s">
        <v>26</v>
      </c>
      <c r="G21" s="1">
        <f>4*10*6*30*16*15</f>
        <v>1728000</v>
      </c>
    </row>
    <row r="22" spans="1:7" x14ac:dyDescent="0.2">
      <c r="A22" t="s">
        <v>13</v>
      </c>
      <c r="B22" s="1" t="s">
        <v>36</v>
      </c>
      <c r="C22" s="1">
        <f>90000*3.5</f>
        <v>315000</v>
      </c>
      <c r="E22" t="s">
        <v>13</v>
      </c>
      <c r="F22" s="1" t="s">
        <v>35</v>
      </c>
      <c r="G22" s="1">
        <f>90000*7.5</f>
        <v>675000</v>
      </c>
    </row>
    <row r="23" spans="1:7" x14ac:dyDescent="0.2">
      <c r="A23" t="s">
        <v>15</v>
      </c>
      <c r="B23" s="1" t="s">
        <v>16</v>
      </c>
      <c r="C23" s="1">
        <v>35000</v>
      </c>
      <c r="E23" t="s">
        <v>15</v>
      </c>
      <c r="F23" s="1" t="s">
        <v>16</v>
      </c>
      <c r="G23" s="1">
        <v>35000</v>
      </c>
    </row>
    <row r="24" spans="1:7" x14ac:dyDescent="0.2">
      <c r="A24" s="6" t="s">
        <v>3</v>
      </c>
      <c r="C24" s="1">
        <f>SUM(C20:C23)</f>
        <v>1768900</v>
      </c>
      <c r="E24" s="6" t="s">
        <v>3</v>
      </c>
      <c r="G24" s="1">
        <f>SUM(G20:G23)</f>
        <v>3750500</v>
      </c>
    </row>
    <row r="25" spans="1:7" x14ac:dyDescent="0.2">
      <c r="C25" s="1"/>
    </row>
    <row r="26" spans="1:7" x14ac:dyDescent="0.2">
      <c r="A26" s="6" t="s">
        <v>28</v>
      </c>
      <c r="C26" s="1">
        <f>C17-C24</f>
        <v>1490045.2250000001</v>
      </c>
      <c r="E26" s="6" t="s">
        <v>29</v>
      </c>
      <c r="G26" s="2">
        <f>G17-G24</f>
        <v>2308445.2249999996</v>
      </c>
    </row>
    <row r="27" spans="1:7" x14ac:dyDescent="0.2">
      <c r="C27" s="1"/>
    </row>
    <row r="28" spans="1:7" x14ac:dyDescent="0.2">
      <c r="A28" s="6" t="s">
        <v>30</v>
      </c>
      <c r="C28" s="3">
        <f>C26/C9</f>
        <v>0.49452191232206971</v>
      </c>
      <c r="E28" s="6" t="s">
        <v>30</v>
      </c>
      <c r="G28" s="3">
        <f>G26/G9</f>
        <v>0.7052478786623817</v>
      </c>
    </row>
    <row r="29" spans="1:7" x14ac:dyDescent="0.2">
      <c r="A29" s="6" t="s">
        <v>31</v>
      </c>
      <c r="B29" t="s">
        <v>32</v>
      </c>
      <c r="C29" s="7">
        <f>C9/C26</f>
        <v>2.0221550857158479</v>
      </c>
      <c r="E29" s="6" t="s">
        <v>31</v>
      </c>
      <c r="F29" t="s">
        <v>32</v>
      </c>
      <c r="G29" s="7">
        <f>G9/G26</f>
        <v>1.4179411668655622</v>
      </c>
    </row>
  </sheetData>
  <phoneticPr fontId="3" type="noConversion"/>
  <pageMargins left="0.7" right="0.7" top="0.75" bottom="0.75" header="0.3" footer="0.3"/>
  <pageSetup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G30"/>
  <sheetViews>
    <sheetView tabSelected="1" workbookViewId="0">
      <selection activeCell="B9" sqref="B9"/>
    </sheetView>
  </sheetViews>
  <sheetFormatPr baseColWidth="10" defaultRowHeight="16" x14ac:dyDescent="0.2"/>
  <cols>
    <col min="1" max="1" width="21.1640625" customWidth="1"/>
    <col min="2" max="2" width="48.5" customWidth="1"/>
    <col min="3" max="3" width="15.5" customWidth="1"/>
    <col min="5" max="5" width="21.1640625" customWidth="1"/>
    <col min="6" max="6" width="38.33203125" customWidth="1"/>
    <col min="7" max="7" width="17.83203125" customWidth="1"/>
  </cols>
  <sheetData>
    <row r="2" spans="1:7" x14ac:dyDescent="0.2">
      <c r="B2" s="8" t="s">
        <v>38</v>
      </c>
      <c r="F2" s="8" t="s">
        <v>37</v>
      </c>
    </row>
    <row r="3" spans="1:7" x14ac:dyDescent="0.2">
      <c r="A3" s="6" t="s">
        <v>0</v>
      </c>
      <c r="C3" s="1"/>
      <c r="E3" s="6" t="s">
        <v>0</v>
      </c>
      <c r="G3" s="1"/>
    </row>
    <row r="4" spans="1:7" x14ac:dyDescent="0.2">
      <c r="A4" t="s">
        <v>1</v>
      </c>
      <c r="C4" s="1">
        <v>1385845</v>
      </c>
      <c r="E4" t="s">
        <v>1</v>
      </c>
      <c r="G4" s="1">
        <v>1385845</v>
      </c>
    </row>
    <row r="5" spans="1:7" x14ac:dyDescent="0.2">
      <c r="A5" t="s">
        <v>2</v>
      </c>
      <c r="C5" s="1">
        <v>1396721</v>
      </c>
      <c r="E5" t="s">
        <v>2</v>
      </c>
      <c r="G5" s="1">
        <v>1396721</v>
      </c>
    </row>
    <row r="6" spans="1:7" x14ac:dyDescent="0.2">
      <c r="A6" t="s">
        <v>17</v>
      </c>
      <c r="B6" s="5" t="s">
        <v>19</v>
      </c>
      <c r="C6" s="1">
        <f>35000/12</f>
        <v>2916.6666666666665</v>
      </c>
      <c r="E6" t="s">
        <v>17</v>
      </c>
      <c r="F6" s="5" t="s">
        <v>19</v>
      </c>
      <c r="G6" s="1">
        <f>35000/12</f>
        <v>2916.6666666666665</v>
      </c>
    </row>
    <row r="7" spans="1:7" x14ac:dyDescent="0.2">
      <c r="A7" t="s">
        <v>18</v>
      </c>
      <c r="B7" t="s">
        <v>20</v>
      </c>
      <c r="C7" s="1">
        <f>90000/12*4</f>
        <v>30000</v>
      </c>
      <c r="E7" t="s">
        <v>18</v>
      </c>
      <c r="F7" t="s">
        <v>25</v>
      </c>
      <c r="G7" s="1">
        <f>90000/12*8</f>
        <v>60000</v>
      </c>
    </row>
    <row r="8" spans="1:7" x14ac:dyDescent="0.2">
      <c r="A8" t="s">
        <v>39</v>
      </c>
      <c r="B8" t="s">
        <v>40</v>
      </c>
      <c r="C8" s="1">
        <f>C15/360 *30</f>
        <v>204166.66666666666</v>
      </c>
      <c r="D8" s="1"/>
      <c r="E8" s="1" t="s">
        <v>39</v>
      </c>
      <c r="F8" s="1" t="s">
        <v>41</v>
      </c>
      <c r="G8" s="1">
        <f>G15/360 *30</f>
        <v>437500</v>
      </c>
    </row>
    <row r="9" spans="1:7" x14ac:dyDescent="0.2">
      <c r="A9" t="s">
        <v>115</v>
      </c>
      <c r="B9" t="s">
        <v>116</v>
      </c>
      <c r="C9" s="1">
        <f>700000/360*62.5</f>
        <v>121527.77777777777</v>
      </c>
      <c r="E9" t="s">
        <v>115</v>
      </c>
      <c r="F9" t="s">
        <v>116</v>
      </c>
      <c r="G9" s="1">
        <f>700000/360*62.5</f>
        <v>121527.77777777777</v>
      </c>
    </row>
    <row r="10" spans="1:7" x14ac:dyDescent="0.2">
      <c r="A10" s="6" t="s">
        <v>3</v>
      </c>
      <c r="C10" s="1">
        <f>SUM(C4:C9)</f>
        <v>3141177.111111111</v>
      </c>
      <c r="E10" s="6" t="s">
        <v>3</v>
      </c>
      <c r="G10" s="1">
        <f>SUM(G4:G9)</f>
        <v>3404510.4444444445</v>
      </c>
    </row>
    <row r="12" spans="1:7" x14ac:dyDescent="0.2">
      <c r="A12" s="6" t="s">
        <v>7</v>
      </c>
      <c r="C12" s="1"/>
      <c r="E12" s="6" t="s">
        <v>7</v>
      </c>
      <c r="G12" s="1"/>
    </row>
    <row r="13" spans="1:7" x14ac:dyDescent="0.2">
      <c r="A13" t="s">
        <v>4</v>
      </c>
      <c r="B13">
        <v>7</v>
      </c>
      <c r="C13" s="1"/>
      <c r="E13" t="s">
        <v>4</v>
      </c>
      <c r="F13">
        <v>15</v>
      </c>
      <c r="G13" s="1"/>
    </row>
    <row r="14" spans="1:7" x14ac:dyDescent="0.2">
      <c r="A14" t="s">
        <v>5</v>
      </c>
      <c r="B14" s="1">
        <v>350000</v>
      </c>
      <c r="C14" s="1"/>
      <c r="E14" t="s">
        <v>5</v>
      </c>
      <c r="F14" s="1">
        <v>350000</v>
      </c>
      <c r="G14" s="1"/>
    </row>
    <row r="15" spans="1:7" x14ac:dyDescent="0.2">
      <c r="A15" t="s">
        <v>6</v>
      </c>
      <c r="B15" s="1"/>
      <c r="C15" s="1">
        <f>B13*B14</f>
        <v>2450000</v>
      </c>
      <c r="E15" t="s">
        <v>6</v>
      </c>
      <c r="F15" s="1"/>
      <c r="G15" s="1">
        <f>F13*F14</f>
        <v>5250000</v>
      </c>
    </row>
    <row r="16" spans="1:7" x14ac:dyDescent="0.2">
      <c r="A16" t="s">
        <v>21</v>
      </c>
      <c r="B16" s="1" t="s">
        <v>113</v>
      </c>
      <c r="C16" s="1">
        <f>0.15*0.1*1.05*7263015</f>
        <v>114392.48625</v>
      </c>
      <c r="E16" t="s">
        <v>21</v>
      </c>
      <c r="F16" s="1" t="s">
        <v>109</v>
      </c>
      <c r="G16" s="1">
        <f>0.15*0.1*105%*7263015</f>
        <v>114392.48625</v>
      </c>
    </row>
    <row r="17" spans="1:7" x14ac:dyDescent="0.2">
      <c r="A17" t="s">
        <v>22</v>
      </c>
      <c r="B17" s="1" t="s">
        <v>23</v>
      </c>
      <c r="C17" s="1">
        <v>700000</v>
      </c>
      <c r="E17" t="s">
        <v>22</v>
      </c>
      <c r="F17" s="1" t="s">
        <v>23</v>
      </c>
      <c r="G17" s="1">
        <v>700000</v>
      </c>
    </row>
    <row r="18" spans="1:7" x14ac:dyDescent="0.2">
      <c r="A18" s="6" t="s">
        <v>3</v>
      </c>
      <c r="C18" s="1">
        <f>SUM(C15:C17)</f>
        <v>3264392.4862500001</v>
      </c>
      <c r="E18" s="6" t="s">
        <v>3</v>
      </c>
      <c r="G18" s="1">
        <f>SUM(G15:G17)</f>
        <v>6064392.4862500001</v>
      </c>
    </row>
    <row r="20" spans="1:7" x14ac:dyDescent="0.2">
      <c r="A20" s="6" t="s">
        <v>8</v>
      </c>
      <c r="B20" s="1"/>
      <c r="C20" s="1"/>
      <c r="E20" s="6" t="s">
        <v>8</v>
      </c>
      <c r="F20" s="1"/>
      <c r="G20" s="1"/>
    </row>
    <row r="21" spans="1:7" x14ac:dyDescent="0.2">
      <c r="A21" t="s">
        <v>10</v>
      </c>
      <c r="B21" s="3">
        <v>0.25</v>
      </c>
      <c r="C21" s="1">
        <f>C15*B21</f>
        <v>612500</v>
      </c>
      <c r="E21" t="s">
        <v>10</v>
      </c>
      <c r="F21" s="3">
        <v>0.25</v>
      </c>
      <c r="G21" s="1">
        <f>G15*F21</f>
        <v>1312500</v>
      </c>
    </row>
    <row r="22" spans="1:7" x14ac:dyDescent="0.2">
      <c r="A22" t="s">
        <v>11</v>
      </c>
      <c r="B22" s="4" t="s">
        <v>12</v>
      </c>
      <c r="C22" s="1">
        <f>4*10*6*30*16*7</f>
        <v>806400</v>
      </c>
      <c r="E22" t="s">
        <v>11</v>
      </c>
      <c r="F22" s="4" t="s">
        <v>26</v>
      </c>
      <c r="G22" s="1">
        <f>4*10*6*30*16*15</f>
        <v>1728000</v>
      </c>
    </row>
    <row r="23" spans="1:7" x14ac:dyDescent="0.2">
      <c r="A23" t="s">
        <v>13</v>
      </c>
      <c r="B23" s="1" t="s">
        <v>14</v>
      </c>
      <c r="C23" s="1">
        <f>90000*4</f>
        <v>360000</v>
      </c>
      <c r="E23" t="s">
        <v>13</v>
      </c>
      <c r="F23" s="1" t="s">
        <v>27</v>
      </c>
      <c r="G23" s="1">
        <f>90000*8</f>
        <v>720000</v>
      </c>
    </row>
    <row r="24" spans="1:7" x14ac:dyDescent="0.2">
      <c r="A24" t="s">
        <v>15</v>
      </c>
      <c r="B24" s="1" t="s">
        <v>16</v>
      </c>
      <c r="C24" s="1">
        <v>35000</v>
      </c>
      <c r="E24" t="s">
        <v>15</v>
      </c>
      <c r="F24" s="1" t="s">
        <v>16</v>
      </c>
      <c r="G24" s="1">
        <v>35000</v>
      </c>
    </row>
    <row r="25" spans="1:7" x14ac:dyDescent="0.2">
      <c r="A25" s="6" t="s">
        <v>3</v>
      </c>
      <c r="C25" s="1">
        <f>SUM(C21:C24)</f>
        <v>1813900</v>
      </c>
      <c r="E25" s="6" t="s">
        <v>3</v>
      </c>
      <c r="G25" s="1">
        <f>SUM(G21:G24)</f>
        <v>3795500</v>
      </c>
    </row>
    <row r="26" spans="1:7" x14ac:dyDescent="0.2">
      <c r="C26" s="1"/>
    </row>
    <row r="27" spans="1:7" x14ac:dyDescent="0.2">
      <c r="A27" s="6" t="s">
        <v>28</v>
      </c>
      <c r="C27" s="1">
        <f>C18-C25</f>
        <v>1450492.4862500001</v>
      </c>
      <c r="E27" s="6" t="s">
        <v>29</v>
      </c>
      <c r="G27" s="2">
        <f>G18-G25</f>
        <v>2268892.4862500001</v>
      </c>
    </row>
    <row r="28" spans="1:7" x14ac:dyDescent="0.2">
      <c r="C28" s="1"/>
    </row>
    <row r="29" spans="1:7" x14ac:dyDescent="0.2">
      <c r="A29" s="6" t="s">
        <v>30</v>
      </c>
      <c r="C29" s="3">
        <f>C27/C10</f>
        <v>0.46176717674379253</v>
      </c>
      <c r="E29" s="6" t="s">
        <v>30</v>
      </c>
      <c r="G29" s="3">
        <f>G27/G10</f>
        <v>0.66643722299411035</v>
      </c>
    </row>
    <row r="30" spans="1:7" x14ac:dyDescent="0.2">
      <c r="A30" s="6" t="s">
        <v>31</v>
      </c>
      <c r="B30" t="s">
        <v>32</v>
      </c>
      <c r="C30" s="7">
        <f>C10/C27</f>
        <v>2.1655935076451769</v>
      </c>
      <c r="E30" s="6" t="s">
        <v>31</v>
      </c>
      <c r="F30" t="s">
        <v>32</v>
      </c>
      <c r="G30" s="7">
        <f>G10/G27</f>
        <v>1.5005164259992685</v>
      </c>
    </row>
  </sheetData>
  <phoneticPr fontId="3" type="noConversion"/>
  <pageMargins left="0.7" right="0.7" top="0.75" bottom="0.75" header="0.3" footer="0.3"/>
  <pageSetup orientation="portrait" horizontalDpi="0" verticalDpi="0"/>
  <colBreaks count="1" manualBreakCount="1">
    <brk id="2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47"/>
  <sheetViews>
    <sheetView workbookViewId="0">
      <selection activeCell="G39" sqref="G39"/>
    </sheetView>
  </sheetViews>
  <sheetFormatPr baseColWidth="10" defaultRowHeight="16" x14ac:dyDescent="0.2"/>
  <cols>
    <col min="1" max="1" width="22.1640625" customWidth="1"/>
    <col min="2" max="2" width="26.5" customWidth="1"/>
    <col min="3" max="3" width="16.5" customWidth="1"/>
    <col min="4" max="4" width="15.5" customWidth="1"/>
    <col min="7" max="7" width="19.33203125" customWidth="1"/>
    <col min="8" max="8" width="28.33203125" customWidth="1"/>
    <col min="9" max="9" width="16.5" customWidth="1"/>
    <col min="10" max="10" width="16.83203125" customWidth="1"/>
    <col min="11" max="11" width="12.5" customWidth="1"/>
    <col min="14" max="14" width="33" customWidth="1"/>
    <col min="15" max="15" width="15.6640625" customWidth="1"/>
    <col min="16" max="16" width="19" customWidth="1"/>
  </cols>
  <sheetData>
    <row r="1" spans="1:16" x14ac:dyDescent="0.2">
      <c r="B1" s="14" t="s">
        <v>75</v>
      </c>
      <c r="C1" s="14"/>
      <c r="H1" s="14" t="s">
        <v>76</v>
      </c>
      <c r="I1" s="14"/>
      <c r="O1" s="14" t="s">
        <v>112</v>
      </c>
      <c r="P1" s="14"/>
    </row>
    <row r="2" spans="1:16" x14ac:dyDescent="0.2">
      <c r="A2" t="s">
        <v>42</v>
      </c>
      <c r="G2" t="s">
        <v>42</v>
      </c>
      <c r="N2" t="s">
        <v>79</v>
      </c>
    </row>
    <row r="3" spans="1:16" x14ac:dyDescent="0.2">
      <c r="A3" t="s">
        <v>43</v>
      </c>
      <c r="B3" t="s">
        <v>65</v>
      </c>
      <c r="D3" s="1">
        <f>7263015*0.85*1.02</f>
        <v>6297034.0049999999</v>
      </c>
      <c r="G3" t="s">
        <v>43</v>
      </c>
      <c r="H3" t="s">
        <v>65</v>
      </c>
      <c r="J3" s="1">
        <f>7263015*0.85*1.02</f>
        <v>6297034.0049999999</v>
      </c>
      <c r="N3" t="s">
        <v>80</v>
      </c>
    </row>
    <row r="4" spans="1:16" x14ac:dyDescent="0.2">
      <c r="A4" t="s">
        <v>67</v>
      </c>
      <c r="B4" t="s">
        <v>66</v>
      </c>
      <c r="D4" s="1">
        <f>7263015*0.15*1.05</f>
        <v>1143924.8625</v>
      </c>
      <c r="G4" t="s">
        <v>67</v>
      </c>
      <c r="H4" t="s">
        <v>66</v>
      </c>
      <c r="J4" s="1">
        <f>7263015*0.15*1.05</f>
        <v>1143924.8625</v>
      </c>
      <c r="N4" t="s">
        <v>82</v>
      </c>
      <c r="O4" t="s">
        <v>106</v>
      </c>
      <c r="P4" s="1">
        <v>50000</v>
      </c>
    </row>
    <row r="5" spans="1:16" x14ac:dyDescent="0.2">
      <c r="D5" s="1"/>
      <c r="G5" t="s">
        <v>81</v>
      </c>
      <c r="J5" s="2">
        <f>J3+J4</f>
        <v>7440958.8674999997</v>
      </c>
      <c r="L5">
        <v>7440958.8700000001</v>
      </c>
      <c r="N5" t="s">
        <v>108</v>
      </c>
      <c r="O5" t="s">
        <v>119</v>
      </c>
      <c r="P5" s="1">
        <f>J5/360*68.5</f>
        <v>1415849.1178437499</v>
      </c>
    </row>
    <row r="6" spans="1:16" x14ac:dyDescent="0.2">
      <c r="A6" t="s">
        <v>63</v>
      </c>
      <c r="D6" s="1">
        <f>SUM(D3:D5)</f>
        <v>7440958.8674999997</v>
      </c>
      <c r="E6" s="3">
        <v>1</v>
      </c>
      <c r="G6" t="s">
        <v>77</v>
      </c>
      <c r="J6" s="1">
        <f>'Differential '!C15</f>
        <v>2450000</v>
      </c>
      <c r="N6" t="s">
        <v>104</v>
      </c>
      <c r="O6" t="s">
        <v>107</v>
      </c>
      <c r="P6" s="1">
        <f>'Differential '!C8</f>
        <v>204166.66666666666</v>
      </c>
    </row>
    <row r="7" spans="1:16" x14ac:dyDescent="0.2">
      <c r="A7" s="6" t="s">
        <v>9</v>
      </c>
      <c r="D7" s="1"/>
      <c r="G7" t="s">
        <v>63</v>
      </c>
      <c r="J7" s="1">
        <f>J6+J5</f>
        <v>9890958.8674999997</v>
      </c>
      <c r="K7" s="3">
        <v>1</v>
      </c>
      <c r="N7" t="s">
        <v>102</v>
      </c>
      <c r="P7" s="1">
        <f>SUM(P4:P6)</f>
        <v>1670015.7845104167</v>
      </c>
    </row>
    <row r="8" spans="1:16" x14ac:dyDescent="0.2">
      <c r="A8" t="s">
        <v>44</v>
      </c>
      <c r="C8" s="1">
        <f>$D$6*E8</f>
        <v>2031381.7708275001</v>
      </c>
      <c r="E8" s="10">
        <v>0.27300000000000002</v>
      </c>
      <c r="G8" s="6" t="s">
        <v>9</v>
      </c>
      <c r="J8" s="1"/>
      <c r="P8" s="1"/>
    </row>
    <row r="9" spans="1:16" x14ac:dyDescent="0.2">
      <c r="A9" t="s">
        <v>73</v>
      </c>
      <c r="C9" s="12">
        <v>0</v>
      </c>
      <c r="G9" t="s">
        <v>44</v>
      </c>
      <c r="I9" s="1">
        <f>$J$5*K9</f>
        <v>2031381.7708275001</v>
      </c>
      <c r="K9" s="10">
        <v>0.27300000000000002</v>
      </c>
      <c r="N9" t="s">
        <v>83</v>
      </c>
      <c r="P9" s="1"/>
    </row>
    <row r="10" spans="1:16" x14ac:dyDescent="0.2">
      <c r="A10" t="s">
        <v>74</v>
      </c>
      <c r="D10" s="2">
        <f>C8+C9</f>
        <v>2031381.7708275001</v>
      </c>
      <c r="G10" t="s">
        <v>73</v>
      </c>
      <c r="I10" s="13">
        <f>'Differential '!C21</f>
        <v>612500</v>
      </c>
      <c r="N10" t="s">
        <v>2</v>
      </c>
      <c r="P10" s="1">
        <v>6955434</v>
      </c>
    </row>
    <row r="11" spans="1:16" x14ac:dyDescent="0.2">
      <c r="A11" t="s">
        <v>45</v>
      </c>
      <c r="D11" s="1">
        <f>$D$6*E11</f>
        <v>1867680.6757425</v>
      </c>
      <c r="E11" s="10">
        <v>0.251</v>
      </c>
      <c r="G11" t="s">
        <v>74</v>
      </c>
      <c r="J11" s="2">
        <f>I9+I10</f>
        <v>2643881.7708275001</v>
      </c>
      <c r="N11" t="s">
        <v>111</v>
      </c>
      <c r="P11" s="1">
        <v>2782566</v>
      </c>
    </row>
    <row r="12" spans="1:16" x14ac:dyDescent="0.2">
      <c r="A12" t="s">
        <v>46</v>
      </c>
      <c r="C12" s="1">
        <f>$D$6*E12</f>
        <v>1391459.3082224999</v>
      </c>
      <c r="E12" s="10">
        <v>0.187</v>
      </c>
      <c r="G12" t="s">
        <v>45</v>
      </c>
      <c r="J12" s="1">
        <f>$J$5*K12 - 700000</f>
        <v>1167680.6757425</v>
      </c>
      <c r="K12" s="10">
        <v>0.251</v>
      </c>
      <c r="N12" t="s">
        <v>84</v>
      </c>
      <c r="P12" s="1">
        <v>160715</v>
      </c>
    </row>
    <row r="13" spans="1:16" x14ac:dyDescent="0.2">
      <c r="A13" t="s">
        <v>71</v>
      </c>
      <c r="C13" s="12">
        <v>0</v>
      </c>
      <c r="G13" t="s">
        <v>46</v>
      </c>
      <c r="I13" s="1">
        <f>$J$5*K13</f>
        <v>1391459.3082224999</v>
      </c>
      <c r="K13" s="10">
        <v>0.187</v>
      </c>
      <c r="N13" t="s">
        <v>85</v>
      </c>
      <c r="P13" s="1">
        <f>(4922770+J31)*-1</f>
        <v>-5925744.5999999996</v>
      </c>
    </row>
    <row r="14" spans="1:16" x14ac:dyDescent="0.2">
      <c r="A14" t="s">
        <v>72</v>
      </c>
      <c r="D14" s="2">
        <f>C12+C13</f>
        <v>1391459.3082224999</v>
      </c>
      <c r="G14" t="s">
        <v>71</v>
      </c>
      <c r="I14" s="13">
        <f>'Differential '!C23+'Differential '!C24</f>
        <v>395000</v>
      </c>
      <c r="N14" t="s">
        <v>86</v>
      </c>
      <c r="P14" s="1">
        <f>SUM(P10:P13)</f>
        <v>3972970.4000000004</v>
      </c>
    </row>
    <row r="15" spans="1:16" x14ac:dyDescent="0.2">
      <c r="A15" t="s">
        <v>47</v>
      </c>
      <c r="D15" s="1">
        <f t="shared" ref="D15:D21" si="0">$D$6*E15</f>
        <v>580394.79166500003</v>
      </c>
      <c r="E15" s="10">
        <v>7.8E-2</v>
      </c>
      <c r="G15" t="s">
        <v>72</v>
      </c>
      <c r="J15" s="2">
        <f>I13+I14</f>
        <v>1786459.3082224999</v>
      </c>
      <c r="N15" t="s">
        <v>87</v>
      </c>
      <c r="P15" s="1">
        <f>P14+P7</f>
        <v>5642986.1845104173</v>
      </c>
    </row>
    <row r="16" spans="1:16" x14ac:dyDescent="0.2">
      <c r="A16" t="s">
        <v>48</v>
      </c>
      <c r="D16" s="1">
        <f t="shared" si="0"/>
        <v>111614.38301249999</v>
      </c>
      <c r="E16" s="10">
        <v>1.4999999999999999E-2</v>
      </c>
      <c r="G16" t="s">
        <v>78</v>
      </c>
      <c r="J16" s="2">
        <f>'Differential '!C22</f>
        <v>806400</v>
      </c>
      <c r="P16" s="1"/>
    </row>
    <row r="17" spans="1:16" x14ac:dyDescent="0.2">
      <c r="A17" t="s">
        <v>49</v>
      </c>
      <c r="D17" s="1">
        <f t="shared" si="0"/>
        <v>81850.54754249999</v>
      </c>
      <c r="E17" s="10">
        <v>1.0999999999999999E-2</v>
      </c>
      <c r="G17" t="s">
        <v>114</v>
      </c>
      <c r="J17" s="2">
        <f>-1*'Differential '!C16</f>
        <v>-114392.48625</v>
      </c>
      <c r="N17" t="s">
        <v>88</v>
      </c>
      <c r="P17" s="1"/>
    </row>
    <row r="18" spans="1:16" x14ac:dyDescent="0.2">
      <c r="A18" t="s">
        <v>50</v>
      </c>
      <c r="D18" s="1">
        <f t="shared" si="0"/>
        <v>59527.670939999996</v>
      </c>
      <c r="E18" s="10">
        <v>8.0000000000000002E-3</v>
      </c>
      <c r="G18" t="s">
        <v>47</v>
      </c>
      <c r="J18" s="1">
        <f t="shared" ref="J18:J24" si="1">$J$5*K18</f>
        <v>580394.79166500003</v>
      </c>
      <c r="K18" s="10">
        <v>7.8E-2</v>
      </c>
      <c r="N18" t="s">
        <v>89</v>
      </c>
      <c r="P18" s="1"/>
    </row>
    <row r="19" spans="1:16" x14ac:dyDescent="0.2">
      <c r="A19" t="s">
        <v>51</v>
      </c>
      <c r="D19" s="1">
        <f t="shared" si="0"/>
        <v>29763.835469999998</v>
      </c>
      <c r="E19" s="10">
        <v>4.0000000000000001E-3</v>
      </c>
      <c r="G19" t="s">
        <v>48</v>
      </c>
      <c r="J19" s="1">
        <f t="shared" si="1"/>
        <v>111614.38301249999</v>
      </c>
      <c r="K19" s="10">
        <v>1.4999999999999999E-2</v>
      </c>
      <c r="N19" t="s">
        <v>120</v>
      </c>
      <c r="O19" t="s">
        <v>105</v>
      </c>
      <c r="P19" s="1">
        <v>903990</v>
      </c>
    </row>
    <row r="20" spans="1:16" x14ac:dyDescent="0.2">
      <c r="A20" t="s">
        <v>52</v>
      </c>
      <c r="D20" s="1">
        <f t="shared" si="0"/>
        <v>29763.835469999998</v>
      </c>
      <c r="E20" s="10">
        <v>4.0000000000000001E-3</v>
      </c>
      <c r="G20" t="s">
        <v>49</v>
      </c>
      <c r="J20" s="1">
        <f t="shared" si="1"/>
        <v>81850.54754249999</v>
      </c>
      <c r="K20" s="10">
        <v>1.0999999999999999E-2</v>
      </c>
      <c r="N20" t="s">
        <v>90</v>
      </c>
      <c r="P20" s="1">
        <f>'Income Statement + BS'!J35</f>
        <v>249041.41490812507</v>
      </c>
    </row>
    <row r="21" spans="1:16" x14ac:dyDescent="0.2">
      <c r="A21" t="s">
        <v>53</v>
      </c>
      <c r="D21" s="1">
        <f t="shared" si="0"/>
        <v>22322.8766025</v>
      </c>
      <c r="E21" s="10">
        <v>3.0000000000000001E-3</v>
      </c>
      <c r="G21" t="s">
        <v>50</v>
      </c>
      <c r="J21" s="1">
        <f t="shared" si="1"/>
        <v>59527.670939999996</v>
      </c>
      <c r="K21" s="10">
        <v>8.0000000000000002E-3</v>
      </c>
      <c r="N21" t="s">
        <v>91</v>
      </c>
      <c r="O21">
        <v>62.5</v>
      </c>
      <c r="P21" s="1">
        <f>O21/360*J12</f>
        <v>202722.33953862847</v>
      </c>
    </row>
    <row r="22" spans="1:16" x14ac:dyDescent="0.2">
      <c r="A22" t="s">
        <v>54</v>
      </c>
      <c r="D22" s="1">
        <v>15000</v>
      </c>
      <c r="E22" t="s">
        <v>64</v>
      </c>
      <c r="G22" t="s">
        <v>51</v>
      </c>
      <c r="J22" s="1">
        <f t="shared" si="1"/>
        <v>29763.835469999998</v>
      </c>
      <c r="K22" s="10">
        <v>4.0000000000000001E-3</v>
      </c>
      <c r="N22" t="s">
        <v>117</v>
      </c>
      <c r="P22" s="2"/>
    </row>
    <row r="23" spans="1:16" x14ac:dyDescent="0.2">
      <c r="A23" t="s">
        <v>55</v>
      </c>
      <c r="D23" s="1">
        <f>$D$6*E23</f>
        <v>7440.9588674999995</v>
      </c>
      <c r="E23" s="10">
        <v>1E-3</v>
      </c>
      <c r="G23" t="s">
        <v>52</v>
      </c>
      <c r="J23" s="1">
        <f t="shared" si="1"/>
        <v>29763.835469999998</v>
      </c>
      <c r="K23" s="10">
        <v>4.0000000000000001E-3</v>
      </c>
    </row>
    <row r="24" spans="1:16" x14ac:dyDescent="0.2">
      <c r="A24" t="s">
        <v>56</v>
      </c>
      <c r="B24">
        <v>0</v>
      </c>
      <c r="D24">
        <v>0</v>
      </c>
      <c r="E24">
        <v>0</v>
      </c>
      <c r="G24" t="s">
        <v>53</v>
      </c>
      <c r="J24" s="1">
        <f t="shared" si="1"/>
        <v>22322.8766025</v>
      </c>
      <c r="K24" s="10">
        <v>3.0000000000000001E-3</v>
      </c>
      <c r="N24" t="s">
        <v>92</v>
      </c>
      <c r="P24" s="1">
        <v>507012</v>
      </c>
    </row>
    <row r="25" spans="1:16" x14ac:dyDescent="0.2">
      <c r="A25" t="s">
        <v>57</v>
      </c>
      <c r="B25">
        <v>0</v>
      </c>
      <c r="D25">
        <v>0</v>
      </c>
      <c r="E25">
        <v>0</v>
      </c>
      <c r="G25" t="s">
        <v>54</v>
      </c>
      <c r="J25" s="1">
        <v>15000</v>
      </c>
      <c r="K25" t="s">
        <v>64</v>
      </c>
      <c r="N25" t="s">
        <v>93</v>
      </c>
      <c r="P25" s="1">
        <v>0</v>
      </c>
    </row>
    <row r="26" spans="1:16" x14ac:dyDescent="0.2">
      <c r="A26" t="s">
        <v>58</v>
      </c>
      <c r="B26" t="s">
        <v>68</v>
      </c>
      <c r="C26" s="1">
        <v>724718</v>
      </c>
      <c r="E26" s="3">
        <f>C26/D6</f>
        <v>9.7395780961155809E-2</v>
      </c>
      <c r="G26" t="s">
        <v>55</v>
      </c>
      <c r="J26" s="1">
        <f>$J$5*K26</f>
        <v>7440.9588674999995</v>
      </c>
      <c r="K26" s="10">
        <v>1E-3</v>
      </c>
      <c r="N26" t="s">
        <v>94</v>
      </c>
      <c r="P26" s="1">
        <f>SUM(P19:P25)</f>
        <v>1862765.7544467535</v>
      </c>
    </row>
    <row r="27" spans="1:16" x14ac:dyDescent="0.2">
      <c r="A27" t="s">
        <v>58</v>
      </c>
      <c r="B27" t="s">
        <v>69</v>
      </c>
      <c r="C27" s="11">
        <v>0</v>
      </c>
      <c r="E27" s="3">
        <f>C27/D6</f>
        <v>0</v>
      </c>
      <c r="G27" t="s">
        <v>56</v>
      </c>
      <c r="H27">
        <v>0</v>
      </c>
      <c r="J27">
        <v>0</v>
      </c>
      <c r="K27">
        <v>0</v>
      </c>
      <c r="P27" s="1"/>
    </row>
    <row r="28" spans="1:16" x14ac:dyDescent="0.2">
      <c r="A28" t="s">
        <v>70</v>
      </c>
      <c r="D28" s="2">
        <f>C26+C27</f>
        <v>724718</v>
      </c>
      <c r="G28" t="s">
        <v>57</v>
      </c>
      <c r="H28">
        <v>0</v>
      </c>
      <c r="J28">
        <v>0</v>
      </c>
      <c r="K28">
        <v>0</v>
      </c>
      <c r="N28" t="s">
        <v>95</v>
      </c>
      <c r="O28" t="s">
        <v>118</v>
      </c>
      <c r="P28" s="1">
        <v>0</v>
      </c>
    </row>
    <row r="29" spans="1:16" x14ac:dyDescent="0.2">
      <c r="A29" s="6" t="s">
        <v>59</v>
      </c>
      <c r="D29" s="2">
        <f>SUM(D8:D28)</f>
        <v>6952918.6543624997</v>
      </c>
      <c r="E29" s="3">
        <f>SUM(E8:E27)</f>
        <v>0.93239578096115583</v>
      </c>
      <c r="G29" t="s">
        <v>58</v>
      </c>
      <c r="H29" t="s">
        <v>68</v>
      </c>
      <c r="I29" s="1">
        <v>724718</v>
      </c>
      <c r="K29" s="3">
        <f>I29/J7</f>
        <v>7.3270752584089646E-2</v>
      </c>
      <c r="P29" s="1"/>
    </row>
    <row r="30" spans="1:16" x14ac:dyDescent="0.2">
      <c r="G30" t="s">
        <v>58</v>
      </c>
      <c r="H30" t="s">
        <v>69</v>
      </c>
      <c r="I30" s="11">
        <f>('Differential '!C4+'Differential '!C5)/10</f>
        <v>278256.59999999998</v>
      </c>
      <c r="K30" s="3">
        <f>I30/J7</f>
        <v>2.8132419083684961E-2</v>
      </c>
      <c r="N30" t="s">
        <v>96</v>
      </c>
      <c r="P30" s="1">
        <f>SUM(P26,P28)</f>
        <v>1862765.7544467535</v>
      </c>
    </row>
    <row r="31" spans="1:16" x14ac:dyDescent="0.2">
      <c r="A31" s="6" t="s">
        <v>60</v>
      </c>
      <c r="D31" s="2">
        <f>D6-D29</f>
        <v>488040.21313749999</v>
      </c>
      <c r="E31" s="10">
        <f>D31/D6</f>
        <v>6.5588349811893376E-2</v>
      </c>
      <c r="G31" t="s">
        <v>70</v>
      </c>
      <c r="J31" s="2">
        <f>I29+I30</f>
        <v>1002974.6</v>
      </c>
      <c r="P31" s="1"/>
    </row>
    <row r="32" spans="1:16" x14ac:dyDescent="0.2">
      <c r="A32" t="s">
        <v>61</v>
      </c>
      <c r="D32" s="1">
        <f>IF(D31&gt;0,D31*E32,0)</f>
        <v>73206.031970625001</v>
      </c>
      <c r="E32" s="9">
        <v>0.15</v>
      </c>
      <c r="G32" s="6" t="s">
        <v>59</v>
      </c>
      <c r="J32" s="2">
        <f>SUM(J9:J31)</f>
        <v>8230682.7681124993</v>
      </c>
      <c r="K32" s="3">
        <f>SUM(K9:K30)</f>
        <v>0.93640317166777465</v>
      </c>
      <c r="N32" t="s">
        <v>97</v>
      </c>
      <c r="P32" s="1"/>
    </row>
    <row r="33" spans="1:16" x14ac:dyDescent="0.2">
      <c r="A33" s="6" t="s">
        <v>62</v>
      </c>
      <c r="D33" s="2">
        <f>D31-D32</f>
        <v>414834.181166875</v>
      </c>
      <c r="E33" s="10">
        <f>D33/D6</f>
        <v>5.5750097340109377E-2</v>
      </c>
      <c r="N33" t="s">
        <v>98</v>
      </c>
      <c r="P33" s="1">
        <v>100</v>
      </c>
    </row>
    <row r="34" spans="1:16" x14ac:dyDescent="0.2">
      <c r="G34" s="6" t="s">
        <v>60</v>
      </c>
      <c r="J34" s="2">
        <f>J7-J32</f>
        <v>1660276.0993875004</v>
      </c>
      <c r="K34" s="10">
        <f>J34/J7</f>
        <v>0.16785795205790249</v>
      </c>
      <c r="N34" t="s">
        <v>99</v>
      </c>
      <c r="O34" t="s">
        <v>110</v>
      </c>
      <c r="P34" s="1">
        <f>2368886+J36</f>
        <v>3780120.6844793754</v>
      </c>
    </row>
    <row r="35" spans="1:16" x14ac:dyDescent="0.2">
      <c r="G35" t="s">
        <v>61</v>
      </c>
      <c r="J35" s="1">
        <f>IF(J34&gt;0,J34*K35,0)</f>
        <v>249041.41490812507</v>
      </c>
      <c r="K35" s="9">
        <v>0.15</v>
      </c>
      <c r="N35" t="s">
        <v>100</v>
      </c>
      <c r="P35" s="1">
        <f>SUM(P33:P34)</f>
        <v>3780220.6844793754</v>
      </c>
    </row>
    <row r="36" spans="1:16" x14ac:dyDescent="0.2">
      <c r="G36" s="6" t="s">
        <v>62</v>
      </c>
      <c r="J36" s="2">
        <f>J34-J35</f>
        <v>1411234.6844793754</v>
      </c>
      <c r="K36" s="10">
        <f>J36/J7</f>
        <v>0.14267925924921712</v>
      </c>
      <c r="N36" t="s">
        <v>101</v>
      </c>
      <c r="P36" s="1">
        <f>P35+P30</f>
        <v>5642986.4389261287</v>
      </c>
    </row>
    <row r="39" spans="1:16" x14ac:dyDescent="0.2">
      <c r="N39" t="s">
        <v>103</v>
      </c>
    </row>
    <row r="40" spans="1:16" x14ac:dyDescent="0.2">
      <c r="N40">
        <f>316386/1822497*360</f>
        <v>62.496102874243412</v>
      </c>
    </row>
    <row r="43" spans="1:16" x14ac:dyDescent="0.2">
      <c r="I43" s="2">
        <f>I14+I10+J16-700000+J17</f>
        <v>999507.51375000004</v>
      </c>
    </row>
    <row r="47" spans="1:16" x14ac:dyDescent="0.2">
      <c r="J47" s="2"/>
    </row>
  </sheetData>
  <mergeCells count="3">
    <mergeCell ref="B1:C1"/>
    <mergeCell ref="H1:I1"/>
    <mergeCell ref="O1:P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 3.5</vt:lpstr>
      <vt:lpstr>Differential </vt:lpstr>
      <vt:lpstr>Income Statement + BS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cp:lastPrinted>2018-03-21T15:39:16Z</cp:lastPrinted>
  <dcterms:created xsi:type="dcterms:W3CDTF">2017-03-20T20:51:53Z</dcterms:created>
  <dcterms:modified xsi:type="dcterms:W3CDTF">2018-03-21T15:41:39Z</dcterms:modified>
</cp:coreProperties>
</file>
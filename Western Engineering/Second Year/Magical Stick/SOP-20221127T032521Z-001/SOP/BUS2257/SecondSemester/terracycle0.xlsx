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 showInkAnnotation="0"/>
  <mc:AlternateContent xmlns:mc="http://schemas.openxmlformats.org/markup-compatibility/2006">
    <mc:Choice Requires="x15">
      <x15ac:absPath xmlns:x15ac="http://schemas.microsoft.com/office/spreadsheetml/2010/11/ac" url="/Users/jacquelineyan/Desktop/CASEBOOK SOLUTIONS/"/>
    </mc:Choice>
  </mc:AlternateContent>
  <bookViews>
    <workbookView xWindow="1620" yWindow="460" windowWidth="25600" windowHeight="16000" tabRatio="500"/>
  </bookViews>
  <sheets>
    <sheet name="scf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" i="1" l="1"/>
  <c r="N30" i="1"/>
  <c r="N21" i="1"/>
  <c r="N25" i="1"/>
  <c r="L31" i="1"/>
  <c r="L28" i="1"/>
  <c r="L29" i="1"/>
  <c r="L30" i="1"/>
  <c r="L32" i="1"/>
  <c r="L22" i="1"/>
  <c r="L6" i="1"/>
  <c r="L24" i="1"/>
  <c r="L25" i="1"/>
  <c r="L26" i="1"/>
  <c r="L33" i="1"/>
  <c r="H5" i="1"/>
  <c r="H6" i="1"/>
  <c r="L5" i="1"/>
  <c r="M5" i="1"/>
  <c r="H10" i="1"/>
  <c r="H11" i="1"/>
  <c r="H12" i="1"/>
  <c r="H13" i="1"/>
  <c r="H14" i="1"/>
  <c r="H15" i="1"/>
  <c r="H16" i="1"/>
  <c r="L7" i="1"/>
  <c r="M7" i="1"/>
  <c r="M8" i="1"/>
  <c r="M12" i="1"/>
  <c r="M13" i="1"/>
  <c r="M15" i="1"/>
  <c r="I9" i="1"/>
  <c r="I10" i="1"/>
  <c r="I11" i="1"/>
  <c r="I12" i="1"/>
  <c r="I13" i="1"/>
  <c r="I14" i="1"/>
  <c r="I15" i="1"/>
  <c r="I16" i="1"/>
  <c r="I17" i="1"/>
  <c r="I5" i="1"/>
  <c r="I6" i="1"/>
  <c r="I19" i="1"/>
  <c r="I22" i="1"/>
  <c r="I23" i="1"/>
  <c r="I24" i="1"/>
  <c r="I25" i="1"/>
  <c r="I28" i="1"/>
  <c r="I27" i="1"/>
  <c r="H22" i="1"/>
  <c r="H23" i="1"/>
  <c r="H24" i="1"/>
  <c r="H25" i="1"/>
  <c r="H9" i="1"/>
  <c r="H17" i="1"/>
  <c r="H19" i="1"/>
  <c r="H28" i="1"/>
  <c r="H27" i="1"/>
  <c r="D4" i="1"/>
  <c r="C8" i="1"/>
  <c r="C9" i="1"/>
  <c r="D13" i="1"/>
  <c r="D15" i="1"/>
  <c r="C18" i="1"/>
  <c r="D24" i="1"/>
  <c r="C27" i="1"/>
  <c r="D28" i="1"/>
  <c r="D30" i="1"/>
  <c r="D32" i="1"/>
</calcChain>
</file>

<file path=xl/sharedStrings.xml><?xml version="1.0" encoding="utf-8"?>
<sst xmlns="http://schemas.openxmlformats.org/spreadsheetml/2006/main" count="100" uniqueCount="84">
  <si>
    <t>Statement of Cash Flows</t>
  </si>
  <si>
    <t>OPERATIONS</t>
  </si>
  <si>
    <t>FINANCING</t>
  </si>
  <si>
    <t>INVESTING</t>
  </si>
  <si>
    <t>Net Income</t>
  </si>
  <si>
    <t>Adjustment to Cash basis</t>
  </si>
  <si>
    <t>for the year ended December 31</t>
  </si>
  <si>
    <t>Depreciation</t>
  </si>
  <si>
    <t>A/R</t>
  </si>
  <si>
    <t>Due from Shareholder</t>
  </si>
  <si>
    <t>Inventory</t>
  </si>
  <si>
    <t>Prepaid Expenses</t>
  </si>
  <si>
    <t>AP</t>
  </si>
  <si>
    <t>Salarie Payable</t>
  </si>
  <si>
    <t xml:space="preserve">Insurance Payable </t>
  </si>
  <si>
    <t>Demand Loan</t>
  </si>
  <si>
    <t>Net cash flow from operations</t>
  </si>
  <si>
    <t>Common Stock</t>
  </si>
  <si>
    <t>Series A</t>
  </si>
  <si>
    <t>-</t>
  </si>
  <si>
    <t>Series B</t>
  </si>
  <si>
    <t>Dividends Declared</t>
  </si>
  <si>
    <t>Net cash flow from financing</t>
  </si>
  <si>
    <t>Net purchases</t>
  </si>
  <si>
    <t>Net Cash Flow</t>
  </si>
  <si>
    <t>Beginning Cash</t>
  </si>
  <si>
    <t>Ending Cash</t>
  </si>
  <si>
    <t>Differential Analysis</t>
  </si>
  <si>
    <t>Violet + Orchid</t>
  </si>
  <si>
    <t>Low (30000)</t>
  </si>
  <si>
    <t>High (110000)</t>
  </si>
  <si>
    <t>Inflows:</t>
  </si>
  <si>
    <t>Outflows:</t>
  </si>
  <si>
    <t>Sales</t>
  </si>
  <si>
    <t>Total Inflows</t>
  </si>
  <si>
    <t>Promotions</t>
  </si>
  <si>
    <t>Bottles</t>
  </si>
  <si>
    <t>Safety Cap</t>
  </si>
  <si>
    <t>Spray head</t>
  </si>
  <si>
    <t>Labor</t>
  </si>
  <si>
    <t>Brewing</t>
  </si>
  <si>
    <t>Packaging</t>
  </si>
  <si>
    <t>Labelling</t>
  </si>
  <si>
    <t>Total</t>
  </si>
  <si>
    <t>Investments</t>
  </si>
  <si>
    <t>AR</t>
  </si>
  <si>
    <t>ROI</t>
  </si>
  <si>
    <t>Payback</t>
  </si>
  <si>
    <t>Projected Income Statement</t>
  </si>
  <si>
    <t>Existing Sales</t>
  </si>
  <si>
    <t>Diff Sales</t>
  </si>
  <si>
    <t>Less: COGS</t>
  </si>
  <si>
    <t>Less: Diff COGS</t>
  </si>
  <si>
    <t>Gross Profit</t>
  </si>
  <si>
    <t>Expense</t>
  </si>
  <si>
    <t>Revenues</t>
  </si>
  <si>
    <t>Existing Exp</t>
  </si>
  <si>
    <t>Diff Exp</t>
  </si>
  <si>
    <t>Net Income Before Tax</t>
  </si>
  <si>
    <t>Income Tax</t>
  </si>
  <si>
    <t>Net Income after Tax</t>
  </si>
  <si>
    <t>Projected Balance Sheet</t>
  </si>
  <si>
    <t>as of December 31</t>
  </si>
  <si>
    <t>ASSETS</t>
  </si>
  <si>
    <t>Cash</t>
  </si>
  <si>
    <t>Due from shareholder</t>
  </si>
  <si>
    <t>Prepaid expenses</t>
  </si>
  <si>
    <t>Current Assets</t>
  </si>
  <si>
    <t>Fixed Assets</t>
  </si>
  <si>
    <t>Less: A/D</t>
  </si>
  <si>
    <t>Less: Amort.</t>
  </si>
  <si>
    <t>Total Assets</t>
  </si>
  <si>
    <t xml:space="preserve">Patents </t>
  </si>
  <si>
    <t>LIABILITIES</t>
  </si>
  <si>
    <t>CL</t>
  </si>
  <si>
    <t>A/P</t>
  </si>
  <si>
    <t>Salaries P</t>
  </si>
  <si>
    <t>Insurance P</t>
  </si>
  <si>
    <t>Total CL</t>
  </si>
  <si>
    <t>SH Equity</t>
  </si>
  <si>
    <t>R/E</t>
  </si>
  <si>
    <t>New share issuance</t>
  </si>
  <si>
    <t>Total Equity</t>
  </si>
  <si>
    <t>Total L&amp;OE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</si>
</sst>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&quot;$&quot;* #,##0_-;\-&quot;$&quot;* #,##0_-;_-&quot;$&quot;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"/>
      <name val="Calibri (Body)"/>
    </font>
    <font>
      <b/>
      <u val="singleAccounting"/>
      <sz val="12"/>
      <color theme="1"/>
      <name val="Calibri"/>
      <scheme val="minor"/>
    </font>
    <font>
      <b/>
      <u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166" fontId="0" fillId="0" borderId="0" xfId="2" applyNumberFormat="1" applyFont="1"/>
    <xf numFmtId="166" fontId="3" fillId="0" borderId="0" xfId="2" applyNumberFormat="1" applyFont="1"/>
    <xf numFmtId="166" fontId="1" fillId="0" borderId="0" xfId="2" applyNumberFormat="1" applyFont="1"/>
    <xf numFmtId="0" fontId="0" fillId="0" borderId="0" xfId="0" applyAlignment="1"/>
    <xf numFmtId="0" fontId="0" fillId="0" borderId="0" xfId="0" quotePrefix="1" applyFont="1"/>
    <xf numFmtId="0" fontId="0" fillId="0" borderId="0" xfId="0" applyFont="1"/>
    <xf numFmtId="9" fontId="0" fillId="0" borderId="0" xfId="3" applyFont="1"/>
    <xf numFmtId="165" fontId="0" fillId="0" borderId="0" xfId="1" applyFont="1"/>
    <xf numFmtId="0" fontId="5" fillId="0" borderId="2" xfId="0" applyFont="1" applyBorder="1"/>
    <xf numFmtId="166" fontId="0" fillId="0" borderId="3" xfId="2" applyNumberFormat="1" applyFont="1" applyBorder="1"/>
    <xf numFmtId="166" fontId="0" fillId="0" borderId="4" xfId="2" applyNumberFormat="1" applyFont="1" applyBorder="1"/>
    <xf numFmtId="0" fontId="0" fillId="0" borderId="5" xfId="0" applyBorder="1"/>
    <xf numFmtId="166" fontId="0" fillId="0" borderId="0" xfId="2" applyNumberFormat="1" applyFont="1" applyBorder="1"/>
    <xf numFmtId="166" fontId="0" fillId="0" borderId="6" xfId="2" applyNumberFormat="1" applyFont="1" applyBorder="1"/>
    <xf numFmtId="166" fontId="3" fillId="0" borderId="0" xfId="2" applyNumberFormat="1" applyFont="1" applyBorder="1"/>
    <xf numFmtId="166" fontId="3" fillId="0" borderId="6" xfId="2" applyNumberFormat="1" applyFont="1" applyBorder="1"/>
    <xf numFmtId="0" fontId="4" fillId="0" borderId="5" xfId="0" applyFont="1" applyBorder="1"/>
    <xf numFmtId="166" fontId="4" fillId="0" borderId="0" xfId="2" applyNumberFormat="1" applyFont="1" applyBorder="1"/>
    <xf numFmtId="0" fontId="0" fillId="0" borderId="7" xfId="0" applyBorder="1"/>
    <xf numFmtId="166" fontId="0" fillId="0" borderId="8" xfId="2" applyNumberFormat="1" applyFont="1" applyBorder="1"/>
    <xf numFmtId="166" fontId="0" fillId="0" borderId="9" xfId="2" applyNumberFormat="1" applyFont="1" applyBorder="1"/>
    <xf numFmtId="0" fontId="4" fillId="0" borderId="2" xfId="0" applyFont="1" applyBorder="1"/>
    <xf numFmtId="0" fontId="7" fillId="0" borderId="5" xfId="0" applyFont="1" applyBorder="1"/>
    <xf numFmtId="0" fontId="0" fillId="0" borderId="5" xfId="0" applyFont="1" applyBorder="1"/>
    <xf numFmtId="164" fontId="0" fillId="0" borderId="6" xfId="2" applyNumberFormat="1" applyFont="1" applyBorder="1"/>
    <xf numFmtId="0" fontId="2" fillId="0" borderId="5" xfId="0" applyFont="1" applyBorder="1"/>
    <xf numFmtId="0" fontId="2" fillId="0" borderId="7" xfId="0" applyFont="1" applyBorder="1"/>
    <xf numFmtId="166" fontId="3" fillId="0" borderId="2" xfId="2" applyNumberFormat="1" applyFont="1" applyBorder="1"/>
    <xf numFmtId="166" fontId="6" fillId="0" borderId="5" xfId="2" applyNumberFormat="1" applyFont="1" applyBorder="1"/>
    <xf numFmtId="166" fontId="0" fillId="0" borderId="5" xfId="2" applyNumberFormat="1" applyFont="1" applyBorder="1"/>
    <xf numFmtId="166" fontId="3" fillId="0" borderId="5" xfId="2" applyNumberFormat="1" applyFont="1" applyBorder="1"/>
    <xf numFmtId="166" fontId="4" fillId="0" borderId="6" xfId="2" applyNumberFormat="1" applyFont="1" applyBorder="1"/>
    <xf numFmtId="166" fontId="2" fillId="0" borderId="5" xfId="2" applyNumberFormat="1" applyFont="1" applyBorder="1"/>
    <xf numFmtId="166" fontId="2" fillId="0" borderId="7" xfId="2" applyNumberFormat="1" applyFont="1" applyBorder="1"/>
    <xf numFmtId="166" fontId="4" fillId="0" borderId="9" xfId="2" applyNumberFormat="1" applyFont="1" applyBorder="1"/>
    <xf numFmtId="0" fontId="0" fillId="0" borderId="0" xfId="0" applyBorder="1" applyAlignment="1"/>
    <xf numFmtId="0" fontId="0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C1" zoomScale="110" zoomScaleNormal="110" workbookViewId="0">
      <selection activeCell="L12" sqref="L12"/>
    </sheetView>
  </sheetViews>
  <sheetFormatPr baseColWidth="10" defaultRowHeight="16" x14ac:dyDescent="0.2"/>
  <cols>
    <col min="1" max="1" width="26.1640625" customWidth="1"/>
    <col min="3" max="3" width="11.5" style="2" bestFit="1" customWidth="1"/>
    <col min="4" max="4" width="14" style="2" bestFit="1" customWidth="1"/>
    <col min="5" max="5" width="10.83203125" style="2"/>
    <col min="6" max="6" width="13.1640625" customWidth="1"/>
    <col min="7" max="7" width="17.5" customWidth="1"/>
    <col min="8" max="8" width="15.33203125" style="2" customWidth="1"/>
    <col min="9" max="9" width="13.33203125" style="2" customWidth="1"/>
    <col min="11" max="11" width="12.83203125" customWidth="1"/>
    <col min="12" max="12" width="19" style="2" customWidth="1"/>
    <col min="13" max="13" width="18.33203125" style="2" customWidth="1"/>
    <col min="14" max="14" width="11.83203125" style="2" customWidth="1"/>
  </cols>
  <sheetData>
    <row r="1" spans="1:14" x14ac:dyDescent="0.2">
      <c r="A1" s="42" t="s">
        <v>0</v>
      </c>
      <c r="B1" s="42"/>
      <c r="C1" s="42"/>
      <c r="D1" s="42"/>
      <c r="E1" s="5"/>
      <c r="F1" s="42" t="s">
        <v>27</v>
      </c>
      <c r="G1" s="42"/>
      <c r="H1" s="42"/>
      <c r="I1" s="42"/>
      <c r="J1" s="5"/>
      <c r="K1" s="39" t="s">
        <v>48</v>
      </c>
      <c r="L1" s="40"/>
      <c r="M1" s="41"/>
      <c r="N1" s="37"/>
    </row>
    <row r="2" spans="1:14" x14ac:dyDescent="0.2">
      <c r="A2" s="42" t="s">
        <v>6</v>
      </c>
      <c r="B2" s="42"/>
      <c r="C2" s="42"/>
      <c r="D2" s="42"/>
      <c r="E2" s="5"/>
      <c r="F2" s="42" t="s">
        <v>28</v>
      </c>
      <c r="G2" s="42"/>
      <c r="H2" s="42"/>
      <c r="I2" s="42"/>
      <c r="K2" s="39" t="s">
        <v>6</v>
      </c>
      <c r="L2" s="40"/>
      <c r="M2" s="41"/>
      <c r="N2" s="37"/>
    </row>
    <row r="3" spans="1:14" x14ac:dyDescent="0.2">
      <c r="A3" s="1" t="s">
        <v>1</v>
      </c>
      <c r="H3" s="2" t="s">
        <v>29</v>
      </c>
      <c r="I3" s="2" t="s">
        <v>30</v>
      </c>
      <c r="K3" s="10" t="s">
        <v>55</v>
      </c>
      <c r="L3" s="11" t="s">
        <v>29</v>
      </c>
      <c r="M3" s="12"/>
      <c r="N3" s="14"/>
    </row>
    <row r="4" spans="1:14" x14ac:dyDescent="0.2">
      <c r="A4" t="s">
        <v>4</v>
      </c>
      <c r="D4" s="2">
        <f>-1061628</f>
        <v>-1061628</v>
      </c>
      <c r="F4" s="1" t="s">
        <v>31</v>
      </c>
      <c r="K4" s="13" t="s">
        <v>49</v>
      </c>
      <c r="L4" s="14">
        <f>((((461665-104470)/104470)*0.5)+1)*461665</f>
        <v>1250907.9868622571</v>
      </c>
      <c r="M4" s="15"/>
      <c r="N4" s="14"/>
    </row>
    <row r="5" spans="1:14" ht="19" x14ac:dyDescent="0.35">
      <c r="F5" s="6" t="s">
        <v>33</v>
      </c>
      <c r="H5" s="3">
        <f>30000*2.84</f>
        <v>85200</v>
      </c>
      <c r="I5" s="3">
        <f>2.84*110000</f>
        <v>312400</v>
      </c>
      <c r="K5" s="13" t="s">
        <v>50</v>
      </c>
      <c r="L5" s="16">
        <f>H6</f>
        <v>85200</v>
      </c>
      <c r="M5" s="15">
        <f>SUM(L4:L5)</f>
        <v>1336107.9868622571</v>
      </c>
      <c r="N5" s="14"/>
    </row>
    <row r="6" spans="1:14" x14ac:dyDescent="0.2">
      <c r="A6" t="s">
        <v>5</v>
      </c>
      <c r="F6" s="1" t="s">
        <v>34</v>
      </c>
      <c r="H6" s="2">
        <f>H5</f>
        <v>85200</v>
      </c>
      <c r="I6" s="2">
        <f>I5</f>
        <v>312400</v>
      </c>
      <c r="K6" s="13" t="s">
        <v>51</v>
      </c>
      <c r="L6" s="14">
        <f>0.65*L4</f>
        <v>813090.19146046718</v>
      </c>
      <c r="M6" s="15"/>
      <c r="N6" s="14"/>
    </row>
    <row r="7" spans="1:14" ht="19" x14ac:dyDescent="0.35">
      <c r="A7" t="s">
        <v>7</v>
      </c>
      <c r="C7" s="2">
        <v>30766</v>
      </c>
      <c r="F7" s="1"/>
      <c r="K7" s="13" t="s">
        <v>52</v>
      </c>
      <c r="L7" s="16">
        <f>SUM(H10:H16)</f>
        <v>72489.375</v>
      </c>
      <c r="M7" s="17">
        <f>SUM(L6:L7)</f>
        <v>885579.56646046718</v>
      </c>
      <c r="N7" s="14"/>
    </row>
    <row r="8" spans="1:14" x14ac:dyDescent="0.2">
      <c r="A8" t="s">
        <v>8</v>
      </c>
      <c r="C8" s="2">
        <f>-247130</f>
        <v>-247130</v>
      </c>
      <c r="F8" s="1" t="s">
        <v>32</v>
      </c>
      <c r="K8" s="13" t="s">
        <v>53</v>
      </c>
      <c r="L8" s="14"/>
      <c r="M8" s="15">
        <f>M5-M7</f>
        <v>450528.42040178995</v>
      </c>
      <c r="N8" s="14"/>
    </row>
    <row r="9" spans="1:14" x14ac:dyDescent="0.2">
      <c r="A9" t="s">
        <v>10</v>
      </c>
      <c r="C9" s="2">
        <f>-340375</f>
        <v>-340375</v>
      </c>
      <c r="F9" s="7" t="s">
        <v>35</v>
      </c>
      <c r="H9" s="2">
        <f>10000*2*25%</f>
        <v>5000</v>
      </c>
      <c r="I9" s="2">
        <f>10000*2</f>
        <v>20000</v>
      </c>
      <c r="K9" s="13"/>
      <c r="L9" s="14"/>
      <c r="M9" s="15"/>
      <c r="N9" s="14"/>
    </row>
    <row r="10" spans="1:14" x14ac:dyDescent="0.2">
      <c r="A10" t="s">
        <v>11</v>
      </c>
      <c r="C10" s="2">
        <v>25225</v>
      </c>
      <c r="F10" s="7" t="s">
        <v>36</v>
      </c>
      <c r="H10" s="2">
        <f>30000*0.35</f>
        <v>10500</v>
      </c>
      <c r="I10" s="2">
        <f>110000*0.35</f>
        <v>38500</v>
      </c>
      <c r="K10" s="18" t="s">
        <v>54</v>
      </c>
      <c r="L10" s="14"/>
      <c r="M10" s="15"/>
      <c r="N10" s="14"/>
    </row>
    <row r="11" spans="1:14" x14ac:dyDescent="0.2">
      <c r="A11" t="s">
        <v>12</v>
      </c>
      <c r="C11" s="2">
        <v>175455</v>
      </c>
      <c r="F11" s="7" t="s">
        <v>37</v>
      </c>
      <c r="H11" s="2">
        <f>15000*0.07</f>
        <v>1050</v>
      </c>
      <c r="I11" s="2">
        <f>55000*0.07</f>
        <v>3850.0000000000005</v>
      </c>
      <c r="K11" s="13" t="s">
        <v>56</v>
      </c>
      <c r="L11" s="14">
        <v>1552825</v>
      </c>
      <c r="M11" s="15"/>
    </row>
    <row r="12" spans="1:14" ht="19" x14ac:dyDescent="0.35">
      <c r="A12" t="s">
        <v>13</v>
      </c>
      <c r="C12" s="2">
        <v>48927</v>
      </c>
      <c r="F12" s="7" t="s">
        <v>38</v>
      </c>
      <c r="H12" s="2">
        <f>15000*0.27</f>
        <v>4050.0000000000005</v>
      </c>
      <c r="I12" s="2">
        <f>55000*0.27</f>
        <v>14850.000000000002</v>
      </c>
      <c r="K12" s="13" t="s">
        <v>57</v>
      </c>
      <c r="L12" s="19">
        <v>5000</v>
      </c>
      <c r="M12" s="17">
        <f>-SUM(L11:L12)</f>
        <v>-1557825</v>
      </c>
    </row>
    <row r="13" spans="1:14" ht="19" x14ac:dyDescent="0.35">
      <c r="A13" t="s">
        <v>14</v>
      </c>
      <c r="C13" s="3">
        <v>5798</v>
      </c>
      <c r="D13" s="2">
        <f>SUM(C7:C13)</f>
        <v>-301334</v>
      </c>
      <c r="F13" t="s">
        <v>39</v>
      </c>
      <c r="H13" s="2">
        <f>0.85*30000</f>
        <v>25500</v>
      </c>
      <c r="I13" s="2">
        <f>0.85*110000</f>
        <v>93500</v>
      </c>
      <c r="K13" s="13" t="s">
        <v>58</v>
      </c>
      <c r="L13" s="14"/>
      <c r="M13" s="15">
        <f>SUM(M8:M12)</f>
        <v>-1107296.5795982101</v>
      </c>
    </row>
    <row r="14" spans="1:14" ht="19" x14ac:dyDescent="0.35">
      <c r="F14" s="7" t="s">
        <v>40</v>
      </c>
      <c r="H14" s="2">
        <f>(1.97/128)*20*30000</f>
        <v>9234.375</v>
      </c>
      <c r="I14" s="2">
        <f>(1.97/128)*20*110000</f>
        <v>33859.375</v>
      </c>
      <c r="K14" s="13" t="s">
        <v>59</v>
      </c>
      <c r="L14" s="14"/>
      <c r="M14" s="17">
        <v>0</v>
      </c>
    </row>
    <row r="15" spans="1:14" x14ac:dyDescent="0.2">
      <c r="A15" t="s">
        <v>16</v>
      </c>
      <c r="D15" s="2">
        <f>D4+D13</f>
        <v>-1362962</v>
      </c>
      <c r="F15" s="7" t="s">
        <v>41</v>
      </c>
      <c r="H15" s="2">
        <f>30000*0.4</f>
        <v>12000</v>
      </c>
      <c r="I15" s="2">
        <f>110000*0.4</f>
        <v>44000</v>
      </c>
      <c r="K15" s="20" t="s">
        <v>60</v>
      </c>
      <c r="L15" s="21"/>
      <c r="M15" s="22">
        <f>M13</f>
        <v>-1107296.5795982101</v>
      </c>
    </row>
    <row r="16" spans="1:14" ht="19" x14ac:dyDescent="0.35">
      <c r="F16" s="7" t="s">
        <v>42</v>
      </c>
      <c r="H16" s="3">
        <f>(70%*0.15*15000+30%*0.44*15000)+(15000*0.44)</f>
        <v>10155</v>
      </c>
      <c r="I16" s="3">
        <f>(70%*0.15*55000+30%*0.44*55000)+(55000*0.44)</f>
        <v>37235</v>
      </c>
    </row>
    <row r="17" spans="1:14" x14ac:dyDescent="0.2">
      <c r="A17" s="1" t="s">
        <v>2</v>
      </c>
      <c r="F17" s="1" t="s">
        <v>43</v>
      </c>
      <c r="H17" s="2">
        <f>SUM(H9:H16)</f>
        <v>77489.375</v>
      </c>
      <c r="I17" s="2">
        <f>SUM(I9:I16)</f>
        <v>285794.375</v>
      </c>
      <c r="K17" s="38" t="s">
        <v>61</v>
      </c>
      <c r="L17" s="38"/>
      <c r="M17" s="38"/>
      <c r="N17" s="38"/>
    </row>
    <row r="18" spans="1:14" x14ac:dyDescent="0.2">
      <c r="A18" t="s">
        <v>9</v>
      </c>
      <c r="C18" s="2">
        <f>-75000</f>
        <v>-75000</v>
      </c>
      <c r="K18" s="38" t="s">
        <v>62</v>
      </c>
      <c r="L18" s="38"/>
      <c r="M18" s="38"/>
      <c r="N18" s="38"/>
    </row>
    <row r="19" spans="1:14" ht="19" x14ac:dyDescent="0.35">
      <c r="A19" t="s">
        <v>15</v>
      </c>
      <c r="C19" s="4">
        <v>149988</v>
      </c>
      <c r="F19" s="1" t="s">
        <v>24</v>
      </c>
      <c r="H19" s="2">
        <f>H6-H17</f>
        <v>7710.625</v>
      </c>
      <c r="I19" s="2">
        <f>I6-I17</f>
        <v>26605.625</v>
      </c>
      <c r="K19" s="23" t="s">
        <v>63</v>
      </c>
      <c r="L19" s="12"/>
      <c r="M19" s="29" t="s">
        <v>73</v>
      </c>
      <c r="N19" s="12"/>
    </row>
    <row r="20" spans="1:14" ht="19" x14ac:dyDescent="0.35">
      <c r="A20" t="s">
        <v>17</v>
      </c>
      <c r="C20" s="2">
        <v>0</v>
      </c>
      <c r="K20" s="24" t="s">
        <v>67</v>
      </c>
      <c r="L20" s="15"/>
      <c r="M20" s="30" t="s">
        <v>74</v>
      </c>
      <c r="N20" s="15"/>
    </row>
    <row r="21" spans="1:14" x14ac:dyDescent="0.2">
      <c r="A21" t="s">
        <v>18</v>
      </c>
      <c r="C21" s="2" t="s">
        <v>19</v>
      </c>
      <c r="F21" s="1" t="s">
        <v>44</v>
      </c>
      <c r="K21" s="25" t="s">
        <v>64</v>
      </c>
      <c r="L21" s="15">
        <v>120929</v>
      </c>
      <c r="M21" s="31" t="s">
        <v>75</v>
      </c>
      <c r="N21" s="15">
        <f>813090/360*64+12899</f>
        <v>157448.33333333334</v>
      </c>
    </row>
    <row r="22" spans="1:14" x14ac:dyDescent="0.2">
      <c r="A22" t="s">
        <v>20</v>
      </c>
      <c r="C22" s="2">
        <v>1400000</v>
      </c>
      <c r="F22" t="s">
        <v>10</v>
      </c>
      <c r="H22" s="2">
        <f>((SUM(H10:H16))/360)*85</f>
        <v>17115.546875</v>
      </c>
      <c r="I22" s="2">
        <f>((SUM(I10:I16))/360)*85</f>
        <v>62757.005208333336</v>
      </c>
      <c r="K22" s="25" t="s">
        <v>8</v>
      </c>
      <c r="L22" s="15">
        <f>L4/360*70.9+16796</f>
        <v>263155.37852370564</v>
      </c>
      <c r="M22" s="31" t="s">
        <v>76</v>
      </c>
      <c r="N22" s="15">
        <v>48927</v>
      </c>
    </row>
    <row r="23" spans="1:14" ht="19" x14ac:dyDescent="0.35">
      <c r="A23" t="s">
        <v>21</v>
      </c>
      <c r="C23" s="3">
        <v>0</v>
      </c>
      <c r="F23" s="7" t="s">
        <v>12</v>
      </c>
      <c r="H23" s="2">
        <f>-72555/360*64</f>
        <v>-12898.666666666666</v>
      </c>
      <c r="I23" s="2">
        <f>-(SUM(I10:I16)/360*64)</f>
        <v>-47252.333333333336</v>
      </c>
      <c r="K23" s="25" t="s">
        <v>65</v>
      </c>
      <c r="L23" s="15">
        <v>0</v>
      </c>
      <c r="M23" s="32" t="s">
        <v>77</v>
      </c>
      <c r="N23" s="15">
        <v>0</v>
      </c>
    </row>
    <row r="24" spans="1:14" ht="19" x14ac:dyDescent="0.35">
      <c r="A24" t="s">
        <v>22</v>
      </c>
      <c r="D24" s="2">
        <f>SUM(C18:C23)</f>
        <v>1474988</v>
      </c>
      <c r="F24" t="s">
        <v>45</v>
      </c>
      <c r="H24" s="3">
        <f>H5/360*70.97</f>
        <v>16796.233333333334</v>
      </c>
      <c r="I24" s="3">
        <f>I5/360*70.97</f>
        <v>61586.188888888893</v>
      </c>
      <c r="K24" s="25" t="s">
        <v>10</v>
      </c>
      <c r="L24" s="26">
        <f>L6/360*85+17116</f>
        <v>209095.62853927695</v>
      </c>
      <c r="M24" s="31" t="s">
        <v>15</v>
      </c>
      <c r="N24" s="33">
        <v>149988</v>
      </c>
    </row>
    <row r="25" spans="1:14" ht="19" x14ac:dyDescent="0.35">
      <c r="F25" s="1" t="s">
        <v>43</v>
      </c>
      <c r="H25" s="2">
        <f>SUM(H22:H24)</f>
        <v>21013.113541666666</v>
      </c>
      <c r="I25" s="2">
        <f>SUM(I22:I24)</f>
        <v>77090.860763888893</v>
      </c>
      <c r="K25" s="25" t="s">
        <v>66</v>
      </c>
      <c r="L25" s="17">
        <f>30600*1.5</f>
        <v>45900</v>
      </c>
      <c r="M25" s="31" t="s">
        <v>78</v>
      </c>
      <c r="N25" s="15">
        <f>SUM(N21:N24)</f>
        <v>356363.33333333337</v>
      </c>
    </row>
    <row r="26" spans="1:14" ht="19" x14ac:dyDescent="0.35">
      <c r="A26" s="1" t="s">
        <v>3</v>
      </c>
      <c r="K26" s="27" t="s">
        <v>43</v>
      </c>
      <c r="L26" s="15">
        <f>SUM(L21:L25)</f>
        <v>639080.00706298253</v>
      </c>
      <c r="M26" s="30" t="s">
        <v>79</v>
      </c>
      <c r="N26" s="15"/>
    </row>
    <row r="27" spans="1:14" ht="19" x14ac:dyDescent="0.35">
      <c r="A27" t="s">
        <v>23</v>
      </c>
      <c r="C27" s="3">
        <f>-75038</f>
        <v>-75038</v>
      </c>
      <c r="F27" t="s">
        <v>46</v>
      </c>
      <c r="H27" s="8">
        <f>H19/H25</f>
        <v>0.36694347959005164</v>
      </c>
      <c r="I27" s="8">
        <f>I19/I25</f>
        <v>0.34512035196346746</v>
      </c>
      <c r="K27" s="24" t="s">
        <v>68</v>
      </c>
      <c r="L27" s="15"/>
      <c r="M27" s="31" t="s">
        <v>17</v>
      </c>
      <c r="N27" s="15">
        <v>292011</v>
      </c>
    </row>
    <row r="28" spans="1:14" ht="19" x14ac:dyDescent="0.35">
      <c r="A28" t="s">
        <v>22</v>
      </c>
      <c r="D28" s="2">
        <f>C27</f>
        <v>-75038</v>
      </c>
      <c r="F28" t="s">
        <v>47</v>
      </c>
      <c r="H28" s="9">
        <f>H25/H19</f>
        <v>2.7252153413849936</v>
      </c>
      <c r="I28" s="9">
        <f>I25/I19</f>
        <v>2.8975399286387331</v>
      </c>
      <c r="K28" s="25" t="s">
        <v>68</v>
      </c>
      <c r="L28" s="15">
        <f>151712+47710</f>
        <v>199422</v>
      </c>
      <c r="M28" s="32" t="s">
        <v>18</v>
      </c>
      <c r="N28" s="15">
        <v>1117000</v>
      </c>
    </row>
    <row r="29" spans="1:14" x14ac:dyDescent="0.2">
      <c r="K29" s="25" t="s">
        <v>69</v>
      </c>
      <c r="L29" s="15">
        <f>-(57405+28475)</f>
        <v>-85880</v>
      </c>
      <c r="M29" s="31" t="s">
        <v>20</v>
      </c>
      <c r="N29" s="15">
        <v>1500000</v>
      </c>
    </row>
    <row r="30" spans="1:14" ht="19" x14ac:dyDescent="0.35">
      <c r="A30" s="1" t="s">
        <v>24</v>
      </c>
      <c r="D30" s="2">
        <f>SUM(D15+D24+D28)</f>
        <v>36988</v>
      </c>
      <c r="K30" s="25" t="s">
        <v>72</v>
      </c>
      <c r="L30" s="15">
        <f>42059</f>
        <v>42059</v>
      </c>
      <c r="M30" s="32" t="s">
        <v>80</v>
      </c>
      <c r="N30" s="15">
        <f>-3416636</f>
        <v>-3416636</v>
      </c>
    </row>
    <row r="31" spans="1:14" ht="19" x14ac:dyDescent="0.35">
      <c r="A31" s="1" t="s">
        <v>25</v>
      </c>
      <c r="D31" s="3">
        <v>83941</v>
      </c>
      <c r="K31" s="25" t="s">
        <v>70</v>
      </c>
      <c r="L31" s="17">
        <f>-(4545+1770)</f>
        <v>-6315</v>
      </c>
      <c r="M31" s="31" t="s">
        <v>81</v>
      </c>
      <c r="N31" s="15">
        <v>939626</v>
      </c>
    </row>
    <row r="32" spans="1:14" ht="19" x14ac:dyDescent="0.35">
      <c r="A32" s="1" t="s">
        <v>26</v>
      </c>
      <c r="D32" s="2">
        <f>SUM(D30:D31)</f>
        <v>120929</v>
      </c>
      <c r="K32" s="27" t="s">
        <v>43</v>
      </c>
      <c r="L32" s="17">
        <f>SUM(L28:L31)</f>
        <v>149286</v>
      </c>
      <c r="M32" s="34" t="s">
        <v>82</v>
      </c>
      <c r="N32" s="33">
        <v>432001</v>
      </c>
    </row>
    <row r="33" spans="11:14" x14ac:dyDescent="0.2">
      <c r="K33" s="28" t="s">
        <v>71</v>
      </c>
      <c r="L33" s="22">
        <f>L26+L32</f>
        <v>788366.00706298253</v>
      </c>
      <c r="M33" s="35" t="s">
        <v>83</v>
      </c>
      <c r="N33" s="36">
        <v>788364</v>
      </c>
    </row>
  </sheetData>
  <mergeCells count="8">
    <mergeCell ref="K18:N18"/>
    <mergeCell ref="K17:N17"/>
    <mergeCell ref="K2:M2"/>
    <mergeCell ref="K1:M1"/>
    <mergeCell ref="A1:D1"/>
    <mergeCell ref="A2:D2"/>
    <mergeCell ref="F1:I1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2017-04-09T20:34:33Z</dcterms:created>
  <dcterms:modified xsi:type="dcterms:W3CDTF">2018-04-14T14:57:16Z</dcterms:modified>
</cp:coreProperties>
</file>
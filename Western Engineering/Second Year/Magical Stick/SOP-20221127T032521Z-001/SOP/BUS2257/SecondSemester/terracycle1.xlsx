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Not Used\Biz 2257\Case ansers and review\"/>
    </mc:Choice>
  </mc:AlternateContent>
  <bookViews>
    <workbookView xWindow="0" yWindow="0" windowWidth="20490" windowHeight="7755" tabRatio="655" firstSheet="1" activeTab="3"/>
  </bookViews>
  <sheets>
    <sheet name="INCOME STATEMENT" sheetId="3" r:id="rId1"/>
    <sheet name="BALANCE SHEET" sheetId="1" r:id="rId2"/>
    <sheet name="CASH FLOW STATEMENT" sheetId="2" r:id="rId3"/>
    <sheet name="DIFFERENTIAL" sheetId="4" r:id="rId4"/>
    <sheet name="PROJECTED INCOME STATEMENT" sheetId="6" r:id="rId5"/>
    <sheet name="PROJECTED BALANCE SHEET" sheetId="5" r:id="rId6"/>
    <sheet name="Sheet1" sheetId="7" r:id="rId7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7" i="2" l="1"/>
  <c r="B18" i="2"/>
  <c r="B19" i="2"/>
  <c r="D31" i="1"/>
  <c r="B20" i="2"/>
  <c r="B21" i="2"/>
  <c r="B22" i="2"/>
  <c r="C22" i="2"/>
  <c r="B6" i="2"/>
  <c r="B7" i="2"/>
  <c r="B8" i="2"/>
  <c r="B9" i="2"/>
  <c r="B10" i="2"/>
  <c r="B11" i="2"/>
  <c r="B12" i="2"/>
  <c r="C12" i="2"/>
  <c r="B7" i="3"/>
  <c r="B22" i="3"/>
  <c r="B24" i="3"/>
  <c r="B27" i="3"/>
  <c r="C3" i="2"/>
  <c r="C14" i="2"/>
  <c r="D5" i="4"/>
  <c r="D15" i="4"/>
  <c r="G8" i="4"/>
  <c r="G10" i="4"/>
  <c r="G11" i="4"/>
  <c r="G12" i="4"/>
  <c r="J8" i="4"/>
  <c r="J10" i="4"/>
  <c r="J11" i="4"/>
  <c r="J12" i="4"/>
  <c r="D8" i="4"/>
  <c r="D16" i="4"/>
  <c r="D17" i="4"/>
  <c r="D18" i="4"/>
  <c r="D9" i="4"/>
  <c r="F16" i="4"/>
  <c r="D29" i="4"/>
  <c r="C5" i="4"/>
  <c r="C15" i="4"/>
  <c r="C8" i="4"/>
  <c r="C16" i="4"/>
  <c r="C17" i="4"/>
  <c r="C18" i="4"/>
  <c r="C9" i="4"/>
  <c r="C29" i="4"/>
  <c r="D27" i="4"/>
  <c r="C27" i="4"/>
  <c r="O5" i="5"/>
  <c r="I5" i="6"/>
  <c r="L9" i="5"/>
  <c r="O9" i="5"/>
  <c r="I7" i="6"/>
  <c r="L11" i="5"/>
  <c r="L8" i="5"/>
  <c r="L12" i="5"/>
  <c r="M13" i="5"/>
  <c r="L16" i="5"/>
  <c r="L17" i="5"/>
  <c r="M17" i="5"/>
  <c r="L18" i="5"/>
  <c r="L19" i="5"/>
  <c r="M19" i="5"/>
  <c r="M20" i="5"/>
  <c r="M22" i="5"/>
  <c r="M41" i="5"/>
  <c r="O29" i="5"/>
  <c r="L27" i="5"/>
  <c r="L28" i="5"/>
  <c r="L30" i="5"/>
  <c r="M31" i="5"/>
  <c r="M39" i="5"/>
  <c r="I9" i="6"/>
  <c r="I11" i="6"/>
  <c r="I13" i="6"/>
  <c r="I15" i="6"/>
  <c r="I17" i="6"/>
  <c r="L38" i="5"/>
  <c r="L35" i="5"/>
  <c r="L36" i="5"/>
  <c r="L37" i="5"/>
  <c r="L34" i="5"/>
  <c r="G5" i="6"/>
  <c r="I9" i="5"/>
  <c r="G7" i="6"/>
  <c r="I11" i="5"/>
  <c r="I8" i="5"/>
  <c r="I12" i="5"/>
  <c r="J13" i="5"/>
  <c r="E5" i="6"/>
  <c r="F9" i="5"/>
  <c r="E7" i="6"/>
  <c r="F11" i="5"/>
  <c r="F8" i="5"/>
  <c r="F12" i="5"/>
  <c r="G13" i="5"/>
  <c r="I27" i="5"/>
  <c r="I28" i="5"/>
  <c r="I30" i="5"/>
  <c r="J31" i="5"/>
  <c r="J41" i="5"/>
  <c r="J39" i="5"/>
  <c r="G6" i="6"/>
  <c r="G8" i="6"/>
  <c r="G9" i="6"/>
  <c r="G12" i="6"/>
  <c r="G11" i="6"/>
  <c r="G13" i="6"/>
  <c r="G15" i="6"/>
  <c r="G17" i="6"/>
  <c r="I38" i="5"/>
  <c r="I35" i="5"/>
  <c r="I36" i="5"/>
  <c r="I37" i="5"/>
  <c r="I34" i="5"/>
  <c r="F27" i="5"/>
  <c r="F28" i="5"/>
  <c r="F30" i="5"/>
  <c r="G31" i="5"/>
  <c r="G41" i="5"/>
  <c r="G39" i="5"/>
  <c r="E6" i="6"/>
  <c r="E8" i="6"/>
  <c r="E9" i="6"/>
  <c r="E12" i="6"/>
  <c r="E11" i="6"/>
  <c r="E13" i="6"/>
  <c r="E15" i="6"/>
  <c r="E17" i="6"/>
  <c r="F38" i="5"/>
  <c r="F35" i="5"/>
  <c r="F36" i="5"/>
  <c r="F37" i="5"/>
  <c r="F34" i="5"/>
  <c r="D31" i="5"/>
  <c r="D39" i="5"/>
  <c r="D41" i="5"/>
  <c r="I16" i="5"/>
  <c r="I17" i="5"/>
  <c r="J17" i="5"/>
  <c r="I19" i="5"/>
  <c r="J19" i="5"/>
  <c r="J20" i="5"/>
  <c r="F16" i="5"/>
  <c r="F17" i="5"/>
  <c r="G17" i="5"/>
  <c r="F19" i="5"/>
  <c r="G19" i="5"/>
  <c r="G20" i="5"/>
  <c r="D17" i="5"/>
  <c r="D19" i="5"/>
  <c r="D20" i="5"/>
  <c r="D13" i="5"/>
  <c r="D22" i="5"/>
  <c r="C9" i="6"/>
  <c r="C13" i="6"/>
  <c r="C15" i="6"/>
  <c r="C17" i="6"/>
  <c r="D23" i="4"/>
  <c r="C23" i="4"/>
  <c r="D10" i="4"/>
  <c r="D12" i="4"/>
  <c r="D21" i="4"/>
  <c r="C10" i="4"/>
  <c r="C12" i="4"/>
  <c r="C21" i="4"/>
  <c r="D20" i="4"/>
  <c r="C20" i="4"/>
  <c r="F20" i="4"/>
  <c r="C14" i="1"/>
  <c r="C16" i="1"/>
  <c r="C17" i="1"/>
  <c r="E23" i="2"/>
  <c r="E14" i="1"/>
  <c r="E16" i="1"/>
  <c r="E17" i="1"/>
  <c r="E19" i="2"/>
  <c r="F20" i="2"/>
  <c r="E21" i="2"/>
  <c r="E22" i="2"/>
  <c r="C25" i="2"/>
  <c r="C27" i="2"/>
  <c r="C28" i="2"/>
  <c r="C29" i="2"/>
  <c r="E11" i="2"/>
  <c r="E7" i="2"/>
  <c r="E8" i="2"/>
  <c r="E9" i="2"/>
  <c r="A20" i="2"/>
  <c r="A21" i="2"/>
  <c r="A19" i="2"/>
  <c r="A18" i="2"/>
  <c r="A11" i="2"/>
  <c r="A12" i="2"/>
  <c r="A10" i="2"/>
  <c r="A9" i="2"/>
  <c r="A8" i="2"/>
  <c r="A7" i="2"/>
  <c r="E7" i="3"/>
  <c r="E22" i="3"/>
  <c r="E24" i="3"/>
  <c r="E27" i="3"/>
  <c r="F27" i="3"/>
  <c r="F25" i="3"/>
  <c r="F24" i="3"/>
  <c r="F22" i="3"/>
  <c r="F11" i="3"/>
  <c r="F12" i="3"/>
  <c r="F13" i="3"/>
  <c r="F14" i="3"/>
  <c r="F15" i="3"/>
  <c r="F16" i="3"/>
  <c r="F17" i="3"/>
  <c r="F18" i="3"/>
  <c r="F19" i="3"/>
  <c r="F20" i="3"/>
  <c r="F21" i="3"/>
  <c r="F10" i="3"/>
  <c r="F6" i="3"/>
  <c r="F7" i="3"/>
  <c r="C6" i="3"/>
  <c r="C27" i="3"/>
  <c r="C25" i="3"/>
  <c r="C24" i="3"/>
  <c r="C11" i="3"/>
  <c r="C12" i="3"/>
  <c r="C13" i="3"/>
  <c r="C14" i="3"/>
  <c r="C15" i="3"/>
  <c r="C16" i="3"/>
  <c r="C17" i="3"/>
  <c r="C18" i="3"/>
  <c r="C19" i="3"/>
  <c r="C20" i="3"/>
  <c r="C21" i="3"/>
  <c r="C10" i="3"/>
  <c r="C22" i="3"/>
  <c r="C7" i="3"/>
  <c r="E27" i="1"/>
  <c r="E34" i="1"/>
  <c r="E36" i="1"/>
  <c r="C27" i="1"/>
  <c r="C34" i="1"/>
  <c r="C36" i="1"/>
  <c r="E10" i="1"/>
  <c r="E19" i="1"/>
  <c r="C10" i="1"/>
  <c r="C19" i="1"/>
</calcChain>
</file>

<file path=xl/sharedStrings.xml><?xml version="1.0" encoding="utf-8"?>
<sst xmlns="http://schemas.openxmlformats.org/spreadsheetml/2006/main" count="219" uniqueCount="159">
  <si>
    <t>TERRACYCLE INC</t>
  </si>
  <si>
    <t>TERRACYCLE INC.</t>
  </si>
  <si>
    <t>ASSETS</t>
  </si>
  <si>
    <t>Current Assets:</t>
  </si>
  <si>
    <t>Cash</t>
  </si>
  <si>
    <t>Accounts Receivable</t>
  </si>
  <si>
    <t>Due from Shareholder</t>
  </si>
  <si>
    <t>Inventory</t>
  </si>
  <si>
    <t>Prepaid Expenses</t>
  </si>
  <si>
    <t>Total Current Assets</t>
  </si>
  <si>
    <t>Long-Term Asset:</t>
  </si>
  <si>
    <t>Fixed Assets</t>
  </si>
  <si>
    <t>Less Accumulated Amortization</t>
  </si>
  <si>
    <t>Patents &amp; Trademarks</t>
  </si>
  <si>
    <t>Less: Accumulated Amortization</t>
  </si>
  <si>
    <t>Total Long-Term Assets</t>
  </si>
  <si>
    <t>TOTAL ASSETS</t>
  </si>
  <si>
    <t>LIABILITIES &amp; SHAREHODLERS' EQUITY</t>
  </si>
  <si>
    <t>Current Liabilities</t>
  </si>
  <si>
    <t>Accounts Payable</t>
  </si>
  <si>
    <t>Salaries Payable</t>
  </si>
  <si>
    <t>Insurance Payable</t>
  </si>
  <si>
    <t>Demand Loan</t>
  </si>
  <si>
    <t>Shareholders' Equity</t>
  </si>
  <si>
    <t>Common Stock</t>
  </si>
  <si>
    <t>Series A Preferred Stock</t>
  </si>
  <si>
    <t>Retained Earnings</t>
  </si>
  <si>
    <t>Total Shareholders' Equity</t>
  </si>
  <si>
    <t>TOTAL LIABILITIES &amp; SHAREHOLDERS' EQUITY</t>
  </si>
  <si>
    <t>REVENUE</t>
  </si>
  <si>
    <t>Sales</t>
  </si>
  <si>
    <t>Less: Cost of Goods Sold</t>
  </si>
  <si>
    <t>Gross Profit</t>
  </si>
  <si>
    <t>OPERATING EXPENSES</t>
  </si>
  <si>
    <t>Salaries</t>
  </si>
  <si>
    <t>Office &amp; Administrative</t>
  </si>
  <si>
    <t>Insurance</t>
  </si>
  <si>
    <t>Advertising</t>
  </si>
  <si>
    <t>Research &amp; Development</t>
  </si>
  <si>
    <t>Property Overhead</t>
  </si>
  <si>
    <t>Telephone &amp; Communications</t>
  </si>
  <si>
    <t>Professional Fees/Licenses</t>
  </si>
  <si>
    <t>Travel/Vehicles</t>
  </si>
  <si>
    <t>Interest Expense</t>
  </si>
  <si>
    <t>Amortization</t>
  </si>
  <si>
    <t>Miscellaneous</t>
  </si>
  <si>
    <t>Less:Total Operating Expenses</t>
  </si>
  <si>
    <t>Net Income Before taxes</t>
  </si>
  <si>
    <t>Income taxes</t>
  </si>
  <si>
    <t>NET INCOME AFTER TAX</t>
  </si>
  <si>
    <t>Operations</t>
  </si>
  <si>
    <t>Net Cash Flow From Operations</t>
  </si>
  <si>
    <t>Financing</t>
  </si>
  <si>
    <t>Dividends Declared</t>
  </si>
  <si>
    <t>Series B Preferred Stock</t>
  </si>
  <si>
    <t>O/B</t>
  </si>
  <si>
    <t>Net Loss</t>
  </si>
  <si>
    <t>T/B</t>
  </si>
  <si>
    <t>E/B</t>
  </si>
  <si>
    <t>Dividends</t>
  </si>
  <si>
    <t>Dep'n</t>
  </si>
  <si>
    <t>Purchases</t>
  </si>
  <si>
    <t>Investing</t>
  </si>
  <si>
    <t>Fixed Asset Purchases</t>
  </si>
  <si>
    <t>Net Cash Flow</t>
  </si>
  <si>
    <t>Beginning Cash</t>
  </si>
  <si>
    <t>Ending Cash</t>
  </si>
  <si>
    <t>ASSUMPTIONS</t>
  </si>
  <si>
    <t>INFLOWS</t>
  </si>
  <si>
    <t>OUTFLOWS</t>
  </si>
  <si>
    <t>INVESTMENTS</t>
  </si>
  <si>
    <t>2.84 per bottle</t>
  </si>
  <si>
    <t>AFRICAN VIOLET</t>
  </si>
  <si>
    <t>ORCHID PLANT</t>
  </si>
  <si>
    <t>Bottle</t>
  </si>
  <si>
    <t>Safety Cap</t>
  </si>
  <si>
    <t>Spray Head</t>
  </si>
  <si>
    <t>Direct Labour</t>
  </si>
  <si>
    <t>Brewing</t>
  </si>
  <si>
    <t>Packaging</t>
  </si>
  <si>
    <t>English Labels</t>
  </si>
  <si>
    <t>English/French</t>
  </si>
  <si>
    <t>Total</t>
  </si>
  <si>
    <t>***Brewing: 1.97/128 ounces per gallon*20 ounces per bottle</t>
  </si>
  <si>
    <t>***English Labels: Price per label*percentage sold in US</t>
  </si>
  <si>
    <t>***English/French Labels: Price per label*percentage sold in Canada</t>
  </si>
  <si>
    <t>COGS</t>
  </si>
  <si>
    <t>UNIT COST PER BOTTLE</t>
  </si>
  <si>
    <t>Unit Cost/Bottle*Number Sold</t>
  </si>
  <si>
    <t>Promotions</t>
  </si>
  <si>
    <t>10,000 per product (cut to 25% if sales low)</t>
  </si>
  <si>
    <t>Total Outflows</t>
  </si>
  <si>
    <t>NET CASH FLOW</t>
  </si>
  <si>
    <t>Days Of A/R</t>
  </si>
  <si>
    <t>Last Year's A/R/(Last Year's Sales/360)</t>
  </si>
  <si>
    <t>Differential Sales/360*60 days</t>
  </si>
  <si>
    <t>Differential COGS/360*85 days</t>
  </si>
  <si>
    <t>Differential COGS/360*64 days</t>
  </si>
  <si>
    <t>TOTAL INVESTMENTS</t>
  </si>
  <si>
    <t>ROI</t>
  </si>
  <si>
    <t>PAYBACK</t>
  </si>
  <si>
    <t>NCF/Total Investments</t>
  </si>
  <si>
    <t>Total Investments/NCF</t>
  </si>
  <si>
    <t>Average COGS</t>
  </si>
  <si>
    <t>(2.21+2.62)/2</t>
  </si>
  <si>
    <t>Breakeven</t>
  </si>
  <si>
    <t>Fixed Costs + Investment/Unit Contribution</t>
  </si>
  <si>
    <t>Low:</t>
  </si>
  <si>
    <t>(18,429+5,000)/(2.84-2.416)</t>
  </si>
  <si>
    <t>High:</t>
  </si>
  <si>
    <t>(67,571+20,000)/(2.84-2.416)</t>
  </si>
  <si>
    <t>Revenue</t>
  </si>
  <si>
    <t>((461,665-104,470)/104,470)/2=171% growth</t>
  </si>
  <si>
    <t>taken from differential</t>
  </si>
  <si>
    <t>65% of existing sales</t>
  </si>
  <si>
    <t>Operating Expenses</t>
  </si>
  <si>
    <t>Total Operating Expenses</t>
  </si>
  <si>
    <t>Net Income Before Tax</t>
  </si>
  <si>
    <t>net loss, no tax</t>
  </si>
  <si>
    <t>Net Income After Tax</t>
  </si>
  <si>
    <t>LOW</t>
  </si>
  <si>
    <t>HIGH</t>
  </si>
  <si>
    <t>(1035769-690881)/690881=50% Growth</t>
  </si>
  <si>
    <t>Current Assets</t>
  </si>
  <si>
    <t>assume same amount</t>
  </si>
  <si>
    <t>same number</t>
  </si>
  <si>
    <t>increase by 50%</t>
  </si>
  <si>
    <t>Long-Term Assets</t>
  </si>
  <si>
    <t>added 47,710 additional assets, given</t>
  </si>
  <si>
    <t>Less: Accum. Amort. Fixed Assets</t>
  </si>
  <si>
    <t>added 28,475 amortization, given</t>
  </si>
  <si>
    <t>no new purchases</t>
  </si>
  <si>
    <t>Less: Accum. Amort. Patents &amp; Trademarks</t>
  </si>
  <si>
    <t>added 1,770 amortization, given</t>
  </si>
  <si>
    <t>LIABILITIES &amp; SHAREHOLDERS' EQUITY</t>
  </si>
  <si>
    <t>Liabilities</t>
  </si>
  <si>
    <t>eliminated</t>
  </si>
  <si>
    <t>Total Current Liabilities</t>
  </si>
  <si>
    <t>Shareholder's Equity</t>
  </si>
  <si>
    <t>plug</t>
  </si>
  <si>
    <t>Series A Perferred Stock</t>
  </si>
  <si>
    <t>added net loss from proj. Income statement</t>
  </si>
  <si>
    <t>Total Shareholder's Equity</t>
  </si>
  <si>
    <t>anticipated would be collected</t>
  </si>
  <si>
    <t>A/R/(Sales/360)</t>
  </si>
  <si>
    <t>2004 Days of A/R:</t>
  </si>
  <si>
    <t>70.85 days (Existing) + Diff. A/R</t>
  </si>
  <si>
    <t>2005 Days of Inventory</t>
  </si>
  <si>
    <t>Inventory/(COGS/360)</t>
  </si>
  <si>
    <t>311.6 days (Existing) + Diff. Inventory</t>
  </si>
  <si>
    <t>2005 Days of A/P</t>
  </si>
  <si>
    <t>A/P/(COGS/360)</t>
  </si>
  <si>
    <t>168.4 days (Existing) + Diff. A/P</t>
  </si>
  <si>
    <t>Additional Financing Required</t>
  </si>
  <si>
    <t>STATUS QUO</t>
  </si>
  <si>
    <t>What if they increase their price to $3.00?</t>
  </si>
  <si>
    <t>What if they increase their price to $2.89?</t>
  </si>
  <si>
    <t>New Sales (Differential)</t>
  </si>
  <si>
    <t>Less: New Cost of Goods Sold (differential)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</si>
</sst>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0.0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2" fillId="0" borderId="0" xfId="0" applyFont="1"/>
    <xf numFmtId="0" fontId="0" fillId="0" borderId="0" xfId="0" applyAlignment="1">
      <alignment horizontal="left"/>
    </xf>
    <xf numFmtId="164" fontId="0" fillId="0" borderId="0" xfId="1" applyFont="1"/>
    <xf numFmtId="165" fontId="0" fillId="0" borderId="0" xfId="1" applyNumberFormat="1" applyFont="1"/>
    <xf numFmtId="165" fontId="0" fillId="0" borderId="3" xfId="1" applyNumberFormat="1" applyFont="1" applyBorder="1"/>
    <xf numFmtId="165" fontId="0" fillId="0" borderId="4" xfId="1" applyNumberFormat="1" applyFont="1" applyBorder="1"/>
    <xf numFmtId="0" fontId="2" fillId="0" borderId="0" xfId="0" applyFont="1" applyAlignment="1">
      <alignment horizontal="left"/>
    </xf>
    <xf numFmtId="166" fontId="0" fillId="0" borderId="0" xfId="2" applyNumberFormat="1" applyFont="1"/>
    <xf numFmtId="166" fontId="0" fillId="0" borderId="0" xfId="0" applyNumberFormat="1"/>
    <xf numFmtId="10" fontId="0" fillId="0" borderId="0" xfId="0" applyNumberFormat="1"/>
    <xf numFmtId="166" fontId="0" fillId="0" borderId="3" xfId="2" applyNumberFormat="1" applyFont="1" applyBorder="1"/>
    <xf numFmtId="0" fontId="2" fillId="0" borderId="0" xfId="0" applyFont="1" applyAlignment="1">
      <alignment horizontal="center"/>
    </xf>
    <xf numFmtId="166" fontId="0" fillId="0" borderId="0" xfId="2" applyNumberFormat="1" applyFont="1" applyBorder="1"/>
    <xf numFmtId="165" fontId="0" fillId="0" borderId="6" xfId="1" applyNumberFormat="1" applyFont="1" applyBorder="1"/>
    <xf numFmtId="165" fontId="0" fillId="0" borderId="5" xfId="1" applyNumberFormat="1" applyFont="1" applyBorder="1"/>
    <xf numFmtId="165" fontId="0" fillId="0" borderId="7" xfId="1" applyNumberFormat="1" applyFont="1" applyBorder="1"/>
    <xf numFmtId="165" fontId="0" fillId="0" borderId="8" xfId="1" applyNumberFormat="1" applyFont="1" applyBorder="1"/>
    <xf numFmtId="165" fontId="2" fillId="0" borderId="0" xfId="1" applyNumberFormat="1" applyFont="1" applyAlignment="1"/>
    <xf numFmtId="0" fontId="0" fillId="0" borderId="3" xfId="0" applyBorder="1"/>
    <xf numFmtId="2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left"/>
    </xf>
    <xf numFmtId="164" fontId="0" fillId="0" borderId="0" xfId="1" applyNumberFormat="1" applyFont="1"/>
    <xf numFmtId="165" fontId="0" fillId="0" borderId="0" xfId="1" applyNumberFormat="1" applyFont="1" applyAlignment="1">
      <alignment horizontal="left" indent="1"/>
    </xf>
    <xf numFmtId="167" fontId="2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165" fontId="0" fillId="0" borderId="0" xfId="1" applyNumberFormat="1" applyFont="1" applyBorder="1"/>
    <xf numFmtId="0" fontId="0" fillId="0" borderId="0" xfId="0" applyBorder="1"/>
    <xf numFmtId="165" fontId="2" fillId="0" borderId="0" xfId="1" applyNumberFormat="1" applyFont="1"/>
    <xf numFmtId="165" fontId="2" fillId="0" borderId="4" xfId="1" applyNumberFormat="1" applyFont="1" applyBorder="1"/>
    <xf numFmtId="165" fontId="0" fillId="2" borderId="0" xfId="1" applyNumberFormat="1" applyFont="1" applyFill="1"/>
    <xf numFmtId="165" fontId="2" fillId="0" borderId="0" xfId="1" applyNumberFormat="1" applyFont="1" applyBorder="1"/>
    <xf numFmtId="0" fontId="0" fillId="0" borderId="0" xfId="0" applyFont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1" applyNumberFormat="1" applyFont="1" applyBorder="1" applyAlignment="1">
      <alignment horizontal="center"/>
    </xf>
  </cellXfs>
  <cellStyles count="105">
    <cellStyle name="Comma" xfId="1" builtinId="3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showGridLines="0" workbookViewId="0">
      <selection activeCell="B20" sqref="B20"/>
    </sheetView>
  </sheetViews>
  <sheetFormatPr defaultColWidth="11" defaultRowHeight="15.75" x14ac:dyDescent="0.25"/>
  <cols>
    <col min="1" max="1" width="43.125" customWidth="1"/>
    <col min="2" max="2" width="11.125" bestFit="1" customWidth="1"/>
    <col min="4" max="4" width="3.875" customWidth="1"/>
    <col min="6" max="6" width="12.375" bestFit="1" customWidth="1"/>
  </cols>
  <sheetData>
    <row r="1" spans="1:6" ht="27" thickBot="1" x14ac:dyDescent="0.45">
      <c r="A1" s="36" t="s">
        <v>1</v>
      </c>
      <c r="B1" s="36"/>
      <c r="C1" s="36"/>
      <c r="D1" s="36"/>
      <c r="E1" s="36"/>
      <c r="F1" s="36"/>
    </row>
    <row r="3" spans="1:6" x14ac:dyDescent="0.25">
      <c r="B3" s="37">
        <v>2005</v>
      </c>
      <c r="C3" s="37"/>
      <c r="D3" s="14"/>
      <c r="E3" s="37">
        <v>2004</v>
      </c>
      <c r="F3" s="37"/>
    </row>
    <row r="4" spans="1:6" x14ac:dyDescent="0.25">
      <c r="A4" t="s">
        <v>29</v>
      </c>
    </row>
    <row r="5" spans="1:6" x14ac:dyDescent="0.25">
      <c r="A5" t="s">
        <v>30</v>
      </c>
      <c r="B5" s="6">
        <v>461665</v>
      </c>
      <c r="C5" s="10">
        <v>1</v>
      </c>
      <c r="D5" s="10"/>
      <c r="E5" s="6">
        <v>104470</v>
      </c>
      <c r="F5" s="10">
        <v>1</v>
      </c>
    </row>
    <row r="6" spans="1:6" x14ac:dyDescent="0.25">
      <c r="A6" t="s">
        <v>31</v>
      </c>
      <c r="B6" s="7">
        <v>-487524</v>
      </c>
      <c r="C6" s="13">
        <f>B6/B5</f>
        <v>-1.0560124765793377</v>
      </c>
      <c r="D6" s="10"/>
      <c r="E6" s="7">
        <v>-150113</v>
      </c>
      <c r="F6" s="13">
        <f>E6/E5</f>
        <v>-1.4369005456111803</v>
      </c>
    </row>
    <row r="7" spans="1:6" x14ac:dyDescent="0.25">
      <c r="A7" t="s">
        <v>32</v>
      </c>
      <c r="B7" s="6">
        <f>B5+B6</f>
        <v>-25859</v>
      </c>
      <c r="C7" s="10">
        <f>B7/B5</f>
        <v>-5.6012476579337833E-2</v>
      </c>
      <c r="D7" s="6"/>
      <c r="E7" s="6">
        <f>E5+E6</f>
        <v>-45643</v>
      </c>
      <c r="F7" s="10">
        <f>F5+F6</f>
        <v>-0.4369005456111803</v>
      </c>
    </row>
    <row r="8" spans="1:6" x14ac:dyDescent="0.25">
      <c r="B8" s="6"/>
      <c r="C8" s="10"/>
      <c r="D8" s="10"/>
      <c r="E8" s="6"/>
      <c r="F8" s="10"/>
    </row>
    <row r="9" spans="1:6" x14ac:dyDescent="0.25">
      <c r="A9" t="s">
        <v>33</v>
      </c>
      <c r="B9" s="6"/>
      <c r="C9" s="10"/>
      <c r="D9" s="10"/>
      <c r="E9" s="6"/>
      <c r="F9" s="10"/>
    </row>
    <row r="10" spans="1:6" x14ac:dyDescent="0.25">
      <c r="A10" t="s">
        <v>34</v>
      </c>
      <c r="B10" s="6">
        <v>579887</v>
      </c>
      <c r="C10" s="10">
        <f>B10/$B$5</f>
        <v>1.2560774587633889</v>
      </c>
      <c r="D10" s="10"/>
      <c r="E10" s="6">
        <v>335142</v>
      </c>
      <c r="F10" s="10">
        <f>E10/$E$5</f>
        <v>3.2080214415621708</v>
      </c>
    </row>
    <row r="11" spans="1:6" x14ac:dyDescent="0.25">
      <c r="A11" t="s">
        <v>35</v>
      </c>
      <c r="B11" s="6">
        <v>33585</v>
      </c>
      <c r="C11" s="10">
        <f t="shared" ref="C11:C21" si="0">B11/$B$5</f>
        <v>7.2747555045325069E-2</v>
      </c>
      <c r="D11" s="10"/>
      <c r="E11" s="6">
        <v>67342</v>
      </c>
      <c r="F11" s="10">
        <f t="shared" ref="F11:F21" si="1">E11/$E$5</f>
        <v>0.64460610701636833</v>
      </c>
    </row>
    <row r="12" spans="1:6" x14ac:dyDescent="0.25">
      <c r="A12" t="s">
        <v>36</v>
      </c>
      <c r="B12" s="6">
        <v>43815</v>
      </c>
      <c r="C12" s="10">
        <f t="shared" si="0"/>
        <v>9.4906479806786306E-2</v>
      </c>
      <c r="D12" s="10"/>
      <c r="E12" s="6">
        <v>13868</v>
      </c>
      <c r="F12" s="10">
        <f t="shared" si="1"/>
        <v>0.13274624294055709</v>
      </c>
    </row>
    <row r="13" spans="1:6" x14ac:dyDescent="0.25">
      <c r="A13" t="s">
        <v>37</v>
      </c>
      <c r="B13" s="6">
        <v>75283</v>
      </c>
      <c r="C13" s="10">
        <f t="shared" si="0"/>
        <v>0.16306845873089795</v>
      </c>
      <c r="D13" s="10"/>
      <c r="E13" s="6">
        <v>26815</v>
      </c>
      <c r="F13" s="10">
        <f t="shared" si="1"/>
        <v>0.25667655786350146</v>
      </c>
    </row>
    <row r="14" spans="1:6" x14ac:dyDescent="0.25">
      <c r="A14" t="s">
        <v>38</v>
      </c>
      <c r="B14" s="6">
        <v>14267</v>
      </c>
      <c r="C14" s="10">
        <f t="shared" si="0"/>
        <v>3.0903360661951849E-2</v>
      </c>
      <c r="D14" s="10"/>
      <c r="E14" s="6">
        <v>20775</v>
      </c>
      <c r="F14" s="10">
        <f t="shared" si="1"/>
        <v>0.19886091700966785</v>
      </c>
    </row>
    <row r="15" spans="1:6" x14ac:dyDescent="0.25">
      <c r="A15" t="s">
        <v>39</v>
      </c>
      <c r="B15" s="6">
        <v>92846</v>
      </c>
      <c r="C15" s="10">
        <f t="shared" si="0"/>
        <v>0.20111119534727562</v>
      </c>
      <c r="D15" s="10"/>
      <c r="E15" s="6">
        <v>36942</v>
      </c>
      <c r="F15" s="10">
        <f t="shared" si="1"/>
        <v>0.35361347755336459</v>
      </c>
    </row>
    <row r="16" spans="1:6" x14ac:dyDescent="0.25">
      <c r="A16" t="s">
        <v>40</v>
      </c>
      <c r="B16" s="6">
        <v>23632</v>
      </c>
      <c r="C16" s="10">
        <f t="shared" si="0"/>
        <v>5.1188632449936641E-2</v>
      </c>
      <c r="D16" s="10"/>
      <c r="E16" s="6">
        <v>19492</v>
      </c>
      <c r="F16" s="10">
        <f t="shared" si="1"/>
        <v>0.18657987939121279</v>
      </c>
    </row>
    <row r="17" spans="1:6" x14ac:dyDescent="0.25">
      <c r="A17" t="s">
        <v>41</v>
      </c>
      <c r="B17" s="6">
        <v>47138</v>
      </c>
      <c r="C17" s="10">
        <f t="shared" si="0"/>
        <v>0.10210433972685821</v>
      </c>
      <c r="D17" s="10"/>
      <c r="E17" s="6">
        <v>79555</v>
      </c>
      <c r="F17" s="10">
        <f t="shared" si="1"/>
        <v>0.76151048147793621</v>
      </c>
    </row>
    <row r="18" spans="1:6" x14ac:dyDescent="0.25">
      <c r="A18" t="s">
        <v>42</v>
      </c>
      <c r="B18" s="6">
        <v>74514</v>
      </c>
      <c r="C18" s="10">
        <f t="shared" si="0"/>
        <v>0.16140274874638535</v>
      </c>
      <c r="D18" s="10"/>
      <c r="E18" s="6">
        <v>82909</v>
      </c>
      <c r="F18" s="10">
        <f t="shared" si="1"/>
        <v>0.79361539197855846</v>
      </c>
    </row>
    <row r="19" spans="1:6" x14ac:dyDescent="0.25">
      <c r="A19" t="s">
        <v>43</v>
      </c>
      <c r="B19" s="6">
        <v>18218</v>
      </c>
      <c r="C19" s="10">
        <f t="shared" si="0"/>
        <v>3.9461514301495672E-2</v>
      </c>
      <c r="D19" s="10"/>
      <c r="E19" s="6">
        <v>1643</v>
      </c>
      <c r="F19" s="10">
        <f t="shared" si="1"/>
        <v>1.5727002967359051E-2</v>
      </c>
    </row>
    <row r="20" spans="1:6" x14ac:dyDescent="0.25">
      <c r="A20" t="s">
        <v>44</v>
      </c>
      <c r="B20" s="6">
        <v>30766</v>
      </c>
      <c r="C20" s="10">
        <f t="shared" si="0"/>
        <v>6.6641395817313417E-2</v>
      </c>
      <c r="D20" s="10"/>
      <c r="E20" s="6">
        <v>5098</v>
      </c>
      <c r="F20" s="10">
        <f t="shared" si="1"/>
        <v>4.8798698190868191E-2</v>
      </c>
    </row>
    <row r="21" spans="1:6" x14ac:dyDescent="0.25">
      <c r="A21" t="s">
        <v>45</v>
      </c>
      <c r="B21" s="7">
        <v>1818</v>
      </c>
      <c r="C21" s="13">
        <f t="shared" si="0"/>
        <v>3.9379203535030811E-3</v>
      </c>
      <c r="D21" s="15"/>
      <c r="E21" s="7">
        <v>1300</v>
      </c>
      <c r="F21" s="13">
        <f t="shared" si="1"/>
        <v>1.244376375993108E-2</v>
      </c>
    </row>
    <row r="22" spans="1:6" x14ac:dyDescent="0.25">
      <c r="A22" t="s">
        <v>46</v>
      </c>
      <c r="B22" s="6">
        <f>SUM(B10:B21)</f>
        <v>1035769</v>
      </c>
      <c r="C22" s="10">
        <f>SUM(C10:C21)</f>
        <v>2.2435510597511183</v>
      </c>
      <c r="D22" s="10"/>
      <c r="E22" s="6">
        <f>SUM(E10:E21)</f>
        <v>690881</v>
      </c>
      <c r="F22" s="10">
        <f>E22/E5</f>
        <v>6.613199961711496</v>
      </c>
    </row>
    <row r="23" spans="1:6" x14ac:dyDescent="0.25">
      <c r="B23" s="6"/>
      <c r="C23" s="10"/>
      <c r="D23" s="10"/>
      <c r="E23" s="6"/>
      <c r="F23" s="10"/>
    </row>
    <row r="24" spans="1:6" x14ac:dyDescent="0.25">
      <c r="A24" t="s">
        <v>47</v>
      </c>
      <c r="B24" s="6">
        <f>B7-B22</f>
        <v>-1061628</v>
      </c>
      <c r="C24" s="10">
        <f>B24/B5</f>
        <v>-2.2995635363304561</v>
      </c>
      <c r="D24" s="10"/>
      <c r="E24" s="6">
        <f>E7-E22</f>
        <v>-736524</v>
      </c>
      <c r="F24" s="10">
        <f>E24/E5</f>
        <v>-7.0501005073226768</v>
      </c>
    </row>
    <row r="25" spans="1:6" x14ac:dyDescent="0.25">
      <c r="A25" t="s">
        <v>48</v>
      </c>
      <c r="B25" s="7">
        <v>0</v>
      </c>
      <c r="C25" s="13">
        <f>B25/B5</f>
        <v>0</v>
      </c>
      <c r="D25" s="15"/>
      <c r="E25" s="7">
        <v>0</v>
      </c>
      <c r="F25" s="13">
        <f t="shared" ref="F25" si="2">E25/E6</f>
        <v>0</v>
      </c>
    </row>
    <row r="26" spans="1:6" x14ac:dyDescent="0.25">
      <c r="B26" s="6"/>
      <c r="C26" s="10"/>
      <c r="D26" s="10"/>
      <c r="E26" s="6"/>
      <c r="F26" s="10"/>
    </row>
    <row r="27" spans="1:6" x14ac:dyDescent="0.25">
      <c r="A27" t="s">
        <v>49</v>
      </c>
      <c r="B27" s="6">
        <f>B24-B25</f>
        <v>-1061628</v>
      </c>
      <c r="C27" s="10">
        <f>B27/B5</f>
        <v>-2.2995635363304561</v>
      </c>
      <c r="D27" s="10"/>
      <c r="E27" s="6">
        <f>E24-E25</f>
        <v>-736524</v>
      </c>
      <c r="F27" s="10">
        <f>E27/E5</f>
        <v>-7.0501005073226768</v>
      </c>
    </row>
    <row r="28" spans="1:6" x14ac:dyDescent="0.25">
      <c r="B28" s="6"/>
      <c r="C28" s="11"/>
      <c r="D28" s="11"/>
      <c r="E28" s="6"/>
      <c r="F28" s="11"/>
    </row>
    <row r="29" spans="1:6" x14ac:dyDescent="0.25">
      <c r="C29" s="12"/>
      <c r="D29" s="12"/>
      <c r="F29" s="12"/>
    </row>
    <row r="30" spans="1:6" x14ac:dyDescent="0.25">
      <c r="F30" s="12"/>
    </row>
  </sheetData>
  <mergeCells count="3">
    <mergeCell ref="A1:F1"/>
    <mergeCell ref="B3:C3"/>
    <mergeCell ref="E3:F3"/>
  </mergeCells>
  <phoneticPr fontId="7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showGridLines="0" topLeftCell="A2" zoomScale="125" zoomScaleNormal="125" zoomScalePageLayoutView="125" workbookViewId="0">
      <selection activeCell="B9" sqref="B9"/>
    </sheetView>
  </sheetViews>
  <sheetFormatPr defaultColWidth="11" defaultRowHeight="15.75" x14ac:dyDescent="0.25"/>
  <cols>
    <col min="1" max="1" width="43.375" customWidth="1"/>
    <col min="2" max="2" width="11.5" bestFit="1" customWidth="1"/>
    <col min="4" max="4" width="11.125" bestFit="1" customWidth="1"/>
  </cols>
  <sheetData>
    <row r="1" spans="1:5" ht="27" thickBot="1" x14ac:dyDescent="0.45">
      <c r="A1" s="36" t="s">
        <v>1</v>
      </c>
      <c r="B1" s="36"/>
      <c r="C1" s="36"/>
      <c r="D1" s="36"/>
      <c r="E1" s="36"/>
    </row>
    <row r="2" spans="1:5" x14ac:dyDescent="0.25">
      <c r="B2" s="38">
        <v>2005</v>
      </c>
      <c r="C2" s="38"/>
      <c r="D2" s="38">
        <v>2004</v>
      </c>
      <c r="E2" s="38"/>
    </row>
    <row r="3" spans="1:5" x14ac:dyDescent="0.25">
      <c r="A3" s="3" t="s">
        <v>2</v>
      </c>
    </row>
    <row r="4" spans="1:5" x14ac:dyDescent="0.25">
      <c r="A4" t="s">
        <v>3</v>
      </c>
    </row>
    <row r="5" spans="1:5" x14ac:dyDescent="0.25">
      <c r="A5" s="2" t="s">
        <v>4</v>
      </c>
      <c r="B5" s="6">
        <v>120929</v>
      </c>
      <c r="C5" s="6"/>
      <c r="D5" s="6">
        <v>83941</v>
      </c>
      <c r="E5" s="6"/>
    </row>
    <row r="6" spans="1:5" x14ac:dyDescent="0.25">
      <c r="A6" s="2" t="s">
        <v>5</v>
      </c>
      <c r="B6" s="6">
        <v>267691</v>
      </c>
      <c r="C6" s="6"/>
      <c r="D6" s="6">
        <v>20561</v>
      </c>
      <c r="E6" s="6"/>
    </row>
    <row r="7" spans="1:5" x14ac:dyDescent="0.25">
      <c r="A7" s="2" t="s">
        <v>6</v>
      </c>
      <c r="B7" s="6">
        <v>75000</v>
      </c>
      <c r="C7" s="6"/>
      <c r="D7" s="6">
        <v>0</v>
      </c>
      <c r="E7" s="6"/>
    </row>
    <row r="8" spans="1:5" x14ac:dyDescent="0.25">
      <c r="A8" s="2" t="s">
        <v>7</v>
      </c>
      <c r="B8" s="6">
        <v>421980</v>
      </c>
      <c r="C8" s="6"/>
      <c r="D8" s="6">
        <v>81605</v>
      </c>
      <c r="E8" s="6"/>
    </row>
    <row r="9" spans="1:5" x14ac:dyDescent="0.25">
      <c r="A9" s="2" t="s">
        <v>8</v>
      </c>
      <c r="B9" s="7">
        <v>30600</v>
      </c>
      <c r="C9" s="6"/>
      <c r="D9" s="7">
        <v>55825</v>
      </c>
      <c r="E9" s="6"/>
    </row>
    <row r="10" spans="1:5" x14ac:dyDescent="0.25">
      <c r="A10" t="s">
        <v>9</v>
      </c>
      <c r="B10" s="6"/>
      <c r="C10" s="6">
        <f>SUM(B5:B9)</f>
        <v>916200</v>
      </c>
      <c r="D10" s="6"/>
      <c r="E10" s="6">
        <f>SUM(D5:D9)</f>
        <v>241932</v>
      </c>
    </row>
    <row r="11" spans="1:5" x14ac:dyDescent="0.25">
      <c r="B11" s="6"/>
      <c r="C11" s="6"/>
      <c r="D11" s="6"/>
      <c r="E11" s="6"/>
    </row>
    <row r="12" spans="1:5" x14ac:dyDescent="0.25">
      <c r="A12" s="4" t="s">
        <v>10</v>
      </c>
      <c r="B12" s="6"/>
      <c r="C12" s="6"/>
      <c r="D12" s="6"/>
      <c r="E12" s="6"/>
    </row>
    <row r="13" spans="1:5" x14ac:dyDescent="0.25">
      <c r="A13" s="2" t="s">
        <v>11</v>
      </c>
      <c r="B13" s="6">
        <v>151712</v>
      </c>
      <c r="C13" s="6"/>
      <c r="D13" s="6">
        <v>94341</v>
      </c>
      <c r="E13" s="6"/>
    </row>
    <row r="14" spans="1:5" x14ac:dyDescent="0.25">
      <c r="A14" s="2" t="s">
        <v>12</v>
      </c>
      <c r="B14" s="7">
        <v>-57405</v>
      </c>
      <c r="C14" s="6">
        <f>B13+B14</f>
        <v>94307</v>
      </c>
      <c r="D14" s="7">
        <v>-30577</v>
      </c>
      <c r="E14" s="6">
        <f>D13+D14</f>
        <v>63764</v>
      </c>
    </row>
    <row r="15" spans="1:5" x14ac:dyDescent="0.25">
      <c r="A15" s="2" t="s">
        <v>13</v>
      </c>
      <c r="B15" s="6">
        <v>42059</v>
      </c>
      <c r="C15" s="6"/>
      <c r="D15" s="6">
        <v>26560</v>
      </c>
      <c r="E15" s="6"/>
    </row>
    <row r="16" spans="1:5" x14ac:dyDescent="0.25">
      <c r="A16" s="2" t="s">
        <v>14</v>
      </c>
      <c r="B16" s="7">
        <v>-4545</v>
      </c>
      <c r="C16" s="7">
        <f>B15+B16</f>
        <v>37514</v>
      </c>
      <c r="D16" s="7">
        <v>-2775</v>
      </c>
      <c r="E16" s="7">
        <f>D15+D16</f>
        <v>23785</v>
      </c>
    </row>
    <row r="17" spans="1:5" x14ac:dyDescent="0.25">
      <c r="A17" t="s">
        <v>15</v>
      </c>
      <c r="B17" s="6"/>
      <c r="C17" s="6">
        <f>C14+C16</f>
        <v>131821</v>
      </c>
      <c r="D17" s="6"/>
      <c r="E17" s="6">
        <f>E14+E16</f>
        <v>87549</v>
      </c>
    </row>
    <row r="18" spans="1:5" x14ac:dyDescent="0.25">
      <c r="B18" s="6"/>
      <c r="C18" s="6"/>
      <c r="D18" s="6"/>
      <c r="E18" s="6"/>
    </row>
    <row r="19" spans="1:5" ht="16.5" thickBot="1" x14ac:dyDescent="0.3">
      <c r="A19" t="s">
        <v>16</v>
      </c>
      <c r="B19" s="6"/>
      <c r="C19" s="8">
        <f>C17+C10</f>
        <v>1048021</v>
      </c>
      <c r="D19" s="6"/>
      <c r="E19" s="8">
        <f>E10+E17</f>
        <v>329481</v>
      </c>
    </row>
    <row r="20" spans="1:5" ht="16.5" thickTop="1" x14ac:dyDescent="0.25">
      <c r="B20" s="6"/>
      <c r="C20" s="6"/>
      <c r="D20" s="6"/>
      <c r="E20" s="6"/>
    </row>
    <row r="21" spans="1:5" x14ac:dyDescent="0.25">
      <c r="A21" t="s">
        <v>17</v>
      </c>
      <c r="B21" s="6"/>
      <c r="C21" s="6"/>
      <c r="D21" s="6"/>
      <c r="E21" s="6"/>
    </row>
    <row r="22" spans="1:5" x14ac:dyDescent="0.25">
      <c r="A22" t="s">
        <v>18</v>
      </c>
      <c r="B22" s="6"/>
      <c r="C22" s="6"/>
      <c r="D22" s="6"/>
      <c r="E22" s="6"/>
    </row>
    <row r="23" spans="1:5" x14ac:dyDescent="0.25">
      <c r="A23" s="2" t="s">
        <v>19</v>
      </c>
      <c r="B23" s="6">
        <v>228020</v>
      </c>
      <c r="C23" s="6"/>
      <c r="D23" s="6">
        <v>52565</v>
      </c>
      <c r="E23" s="6"/>
    </row>
    <row r="24" spans="1:5" x14ac:dyDescent="0.25">
      <c r="A24" s="2" t="s">
        <v>20</v>
      </c>
      <c r="B24" s="6">
        <v>48927</v>
      </c>
      <c r="C24" s="6"/>
      <c r="D24" s="6">
        <v>0</v>
      </c>
      <c r="E24" s="6"/>
    </row>
    <row r="25" spans="1:5" x14ac:dyDescent="0.25">
      <c r="A25" s="2" t="s">
        <v>21</v>
      </c>
      <c r="B25" s="6">
        <v>21348</v>
      </c>
      <c r="C25" s="6"/>
      <c r="D25" s="6">
        <v>15550</v>
      </c>
      <c r="E25" s="6"/>
    </row>
    <row r="26" spans="1:5" x14ac:dyDescent="0.25">
      <c r="A26" s="2" t="s">
        <v>22</v>
      </c>
      <c r="B26" s="7">
        <v>149988</v>
      </c>
      <c r="C26" s="6"/>
      <c r="D26" s="7">
        <v>0</v>
      </c>
      <c r="E26" s="6"/>
    </row>
    <row r="27" spans="1:5" x14ac:dyDescent="0.25">
      <c r="A27" t="s">
        <v>9</v>
      </c>
      <c r="B27" s="6"/>
      <c r="C27" s="6">
        <f>SUM(B23:B26)</f>
        <v>448283</v>
      </c>
      <c r="D27" s="6"/>
      <c r="E27" s="6">
        <f>SUM(D23:D26)</f>
        <v>68115</v>
      </c>
    </row>
    <row r="28" spans="1:5" x14ac:dyDescent="0.25">
      <c r="B28" s="6"/>
      <c r="C28" s="6"/>
      <c r="D28" s="6"/>
      <c r="E28" s="6"/>
    </row>
    <row r="29" spans="1:5" x14ac:dyDescent="0.25">
      <c r="A29" s="4" t="s">
        <v>23</v>
      </c>
      <c r="B29" s="6"/>
      <c r="C29" s="6"/>
      <c r="D29" s="6"/>
      <c r="E29" s="6"/>
    </row>
    <row r="30" spans="1:5" x14ac:dyDescent="0.25">
      <c r="A30" s="2" t="s">
        <v>24</v>
      </c>
      <c r="B30" s="6">
        <v>292011</v>
      </c>
      <c r="C30" s="6"/>
      <c r="D30" s="6">
        <v>292011</v>
      </c>
      <c r="E30" s="6"/>
    </row>
    <row r="31" spans="1:5" x14ac:dyDescent="0.25">
      <c r="A31" s="2" t="s">
        <v>25</v>
      </c>
      <c r="B31" s="6">
        <v>1117000</v>
      </c>
      <c r="C31" s="6"/>
      <c r="D31" s="6">
        <f>B31</f>
        <v>1117000</v>
      </c>
      <c r="E31" s="6"/>
    </row>
    <row r="32" spans="1:5" x14ac:dyDescent="0.25">
      <c r="A32" s="2" t="s">
        <v>54</v>
      </c>
      <c r="B32" s="6">
        <v>1500000</v>
      </c>
      <c r="C32" s="6"/>
      <c r="D32" s="6">
        <v>100000</v>
      </c>
      <c r="E32" s="6"/>
    </row>
    <row r="33" spans="1:5" x14ac:dyDescent="0.25">
      <c r="A33" s="2" t="s">
        <v>26</v>
      </c>
      <c r="B33" s="7">
        <v>-2309273</v>
      </c>
      <c r="D33" s="7">
        <v>-1247645</v>
      </c>
      <c r="E33" s="6"/>
    </row>
    <row r="34" spans="1:5" x14ac:dyDescent="0.25">
      <c r="A34" s="4" t="s">
        <v>27</v>
      </c>
      <c r="B34" s="6"/>
      <c r="C34" s="7">
        <f>SUM(B30:B33)</f>
        <v>599738</v>
      </c>
      <c r="D34" s="6"/>
      <c r="E34" s="7">
        <f>SUM(D30:D33)</f>
        <v>261366</v>
      </c>
    </row>
    <row r="35" spans="1:5" x14ac:dyDescent="0.25">
      <c r="B35" s="6"/>
      <c r="C35" s="6"/>
      <c r="D35" s="6"/>
      <c r="E35" s="6"/>
    </row>
    <row r="36" spans="1:5" ht="16.5" thickBot="1" x14ac:dyDescent="0.3">
      <c r="A36" s="9" t="s">
        <v>28</v>
      </c>
      <c r="B36" s="6"/>
      <c r="C36" s="8">
        <f>C27+C34</f>
        <v>1048021</v>
      </c>
      <c r="D36" s="6"/>
      <c r="E36" s="8">
        <f>E27+E34</f>
        <v>329481</v>
      </c>
    </row>
    <row r="37" spans="1:5" ht="16.5" thickTop="1" x14ac:dyDescent="0.25"/>
  </sheetData>
  <mergeCells count="3">
    <mergeCell ref="A1:E1"/>
    <mergeCell ref="B2:C2"/>
    <mergeCell ref="D2:E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showGridLines="0" zoomScale="125" zoomScaleNormal="125" zoomScalePageLayoutView="125" workbookViewId="0">
      <selection activeCell="I18" sqref="I18"/>
    </sheetView>
  </sheetViews>
  <sheetFormatPr defaultColWidth="11" defaultRowHeight="15.75" x14ac:dyDescent="0.25"/>
  <cols>
    <col min="1" max="1" width="43.625" customWidth="1"/>
    <col min="3" max="3" width="13.625" bestFit="1" customWidth="1"/>
    <col min="5" max="5" width="10.5" customWidth="1"/>
  </cols>
  <sheetData>
    <row r="1" spans="1:6" ht="27" thickBot="1" x14ac:dyDescent="0.45">
      <c r="A1" s="36" t="s">
        <v>1</v>
      </c>
      <c r="B1" s="36"/>
      <c r="C1" s="36"/>
    </row>
    <row r="3" spans="1:6" x14ac:dyDescent="0.25">
      <c r="A3" t="s">
        <v>56</v>
      </c>
      <c r="B3" s="6"/>
      <c r="C3" s="6">
        <f>'INCOME STATEMENT'!B27</f>
        <v>-1061628</v>
      </c>
    </row>
    <row r="4" spans="1:6" x14ac:dyDescent="0.25">
      <c r="B4" s="6"/>
      <c r="C4" s="6"/>
    </row>
    <row r="5" spans="1:6" x14ac:dyDescent="0.25">
      <c r="A5" s="3" t="s">
        <v>50</v>
      </c>
      <c r="B5" s="6"/>
      <c r="C5" s="6"/>
    </row>
    <row r="6" spans="1:6" x14ac:dyDescent="0.25">
      <c r="A6" s="2" t="s">
        <v>44</v>
      </c>
      <c r="B6" s="6">
        <f>'INCOME STATEMENT'!B20</f>
        <v>30766</v>
      </c>
      <c r="C6" s="6"/>
      <c r="E6" s="39" t="s">
        <v>26</v>
      </c>
      <c r="F6" s="39"/>
    </row>
    <row r="7" spans="1:6" x14ac:dyDescent="0.25">
      <c r="A7" s="2" t="str">
        <f>'BALANCE SHEET'!A6</f>
        <v>Accounts Receivable</v>
      </c>
      <c r="B7" s="6">
        <f>'BALANCE SHEET'!D6-'BALANCE SHEET'!B6</f>
        <v>-247130</v>
      </c>
      <c r="C7" s="6"/>
      <c r="E7" s="16">
        <f>-'BALANCE SHEET'!D33</f>
        <v>1247645</v>
      </c>
      <c r="F7" s="17" t="s">
        <v>55</v>
      </c>
    </row>
    <row r="8" spans="1:6" x14ac:dyDescent="0.25">
      <c r="A8" s="2" t="str">
        <f>'BALANCE SHEET'!A8</f>
        <v>Inventory</v>
      </c>
      <c r="B8" s="6">
        <f>'BALANCE SHEET'!D8-'BALANCE SHEET'!B8</f>
        <v>-340375</v>
      </c>
      <c r="C8" s="6"/>
      <c r="E8" s="19">
        <f>-C3</f>
        <v>1061628</v>
      </c>
      <c r="F8" s="7" t="s">
        <v>56</v>
      </c>
    </row>
    <row r="9" spans="1:6" x14ac:dyDescent="0.25">
      <c r="A9" s="2" t="str">
        <f>'BALANCE SHEET'!A9</f>
        <v>Prepaid Expenses</v>
      </c>
      <c r="B9" s="6">
        <f>'BALANCE SHEET'!D9-'BALANCE SHEET'!B9</f>
        <v>25225</v>
      </c>
      <c r="C9" s="6"/>
      <c r="E9" s="18">
        <f>E7+E8</f>
        <v>2309273</v>
      </c>
      <c r="F9" s="6" t="s">
        <v>57</v>
      </c>
    </row>
    <row r="10" spans="1:6" x14ac:dyDescent="0.25">
      <c r="A10" s="2" t="str">
        <f>'BALANCE SHEET'!A23</f>
        <v>Accounts Payable</v>
      </c>
      <c r="B10" s="6">
        <f>'BALANCE SHEET'!B23-'BALANCE SHEET'!D23</f>
        <v>175455</v>
      </c>
      <c r="C10" s="6"/>
      <c r="E10" s="19">
        <v>0</v>
      </c>
      <c r="F10" s="7" t="s">
        <v>59</v>
      </c>
    </row>
    <row r="11" spans="1:6" x14ac:dyDescent="0.25">
      <c r="A11" s="2" t="str">
        <f>'BALANCE SHEET'!A24</f>
        <v>Salaries Payable</v>
      </c>
      <c r="B11" s="6">
        <f>'BALANCE SHEET'!B24-'BALANCE SHEET'!D24</f>
        <v>48927</v>
      </c>
      <c r="C11" s="6"/>
      <c r="E11" s="18">
        <f>-'BALANCE SHEET'!B33</f>
        <v>2309273</v>
      </c>
      <c r="F11" s="6" t="s">
        <v>58</v>
      </c>
    </row>
    <row r="12" spans="1:6" x14ac:dyDescent="0.25">
      <c r="A12" s="2" t="str">
        <f>'BALANCE SHEET'!A25</f>
        <v>Insurance Payable</v>
      </c>
      <c r="B12" s="7">
        <f>'BALANCE SHEET'!B25-'BALANCE SHEET'!D25</f>
        <v>5798</v>
      </c>
      <c r="C12" s="7">
        <f>SUM(B6:B12)</f>
        <v>-301334</v>
      </c>
      <c r="E12" s="18"/>
      <c r="F12" s="6"/>
    </row>
    <row r="13" spans="1:6" x14ac:dyDescent="0.25">
      <c r="B13" s="6"/>
      <c r="C13" s="6"/>
      <c r="E13" s="18"/>
      <c r="F13" s="6"/>
    </row>
    <row r="14" spans="1:6" x14ac:dyDescent="0.25">
      <c r="A14" t="s">
        <v>51</v>
      </c>
      <c r="B14" s="6"/>
      <c r="C14" s="6">
        <f>C3+C12</f>
        <v>-1362962</v>
      </c>
      <c r="E14" s="6"/>
      <c r="F14" s="6"/>
    </row>
    <row r="15" spans="1:6" x14ac:dyDescent="0.25">
      <c r="B15" s="6"/>
      <c r="C15" s="6"/>
      <c r="E15" s="6"/>
      <c r="F15" s="6"/>
    </row>
    <row r="16" spans="1:6" x14ac:dyDescent="0.25">
      <c r="A16" s="3" t="s">
        <v>52</v>
      </c>
      <c r="B16" s="6"/>
      <c r="C16" s="6"/>
      <c r="E16" s="6"/>
      <c r="F16" s="6"/>
    </row>
    <row r="17" spans="1:6" x14ac:dyDescent="0.25">
      <c r="A17" s="35" t="s">
        <v>22</v>
      </c>
      <c r="B17" s="6">
        <f>'BALANCE SHEET'!B26-'BALANCE SHEET'!D26</f>
        <v>149988</v>
      </c>
      <c r="C17" s="6"/>
      <c r="E17" s="6"/>
      <c r="F17" s="6"/>
    </row>
    <row r="18" spans="1:6" x14ac:dyDescent="0.25">
      <c r="A18" t="str">
        <f>'BALANCE SHEET'!A7</f>
        <v>Due from Shareholder</v>
      </c>
      <c r="B18" s="6">
        <f>'BALANCE SHEET'!D7-'BALANCE SHEET'!B7</f>
        <v>-75000</v>
      </c>
      <c r="C18" s="6"/>
      <c r="E18" s="40" t="s">
        <v>11</v>
      </c>
      <c r="F18" s="40"/>
    </row>
    <row r="19" spans="1:6" x14ac:dyDescent="0.25">
      <c r="A19" t="str">
        <f>'BALANCE SHEET'!A30</f>
        <v>Common Stock</v>
      </c>
      <c r="B19" s="6">
        <f>'BALANCE SHEET'!B30-'BALANCE SHEET'!D30</f>
        <v>0</v>
      </c>
      <c r="C19" s="6"/>
      <c r="E19" s="16">
        <f>'BALANCE SHEET'!E17</f>
        <v>87549</v>
      </c>
      <c r="F19" s="17" t="s">
        <v>55</v>
      </c>
    </row>
    <row r="20" spans="1:6" x14ac:dyDescent="0.25">
      <c r="A20" t="str">
        <f>'BALANCE SHEET'!A31</f>
        <v>Series A Preferred Stock</v>
      </c>
      <c r="B20" s="6">
        <f>'BALANCE SHEET'!B31-'BALANCE SHEET'!D31</f>
        <v>0</v>
      </c>
      <c r="C20" s="6"/>
      <c r="E20" s="19" t="s">
        <v>60</v>
      </c>
      <c r="F20" s="7">
        <f>B6</f>
        <v>30766</v>
      </c>
    </row>
    <row r="21" spans="1:6" x14ac:dyDescent="0.25">
      <c r="A21" t="str">
        <f>'BALANCE SHEET'!A32</f>
        <v>Series B Preferred Stock</v>
      </c>
      <c r="B21" s="6">
        <f>'BALANCE SHEET'!B32-'BALANCE SHEET'!D32</f>
        <v>1400000</v>
      </c>
      <c r="C21" s="6"/>
      <c r="E21" s="18">
        <f>E19-F20</f>
        <v>56783</v>
      </c>
      <c r="F21" s="6" t="s">
        <v>57</v>
      </c>
    </row>
    <row r="22" spans="1:6" x14ac:dyDescent="0.25">
      <c r="A22" t="s">
        <v>53</v>
      </c>
      <c r="B22" s="7">
        <f>E10</f>
        <v>0</v>
      </c>
      <c r="C22" s="6">
        <f>SUM(B17:B22)</f>
        <v>1474988</v>
      </c>
      <c r="E22" s="19">
        <f>E23-E21</f>
        <v>75038</v>
      </c>
      <c r="F22" s="7" t="s">
        <v>61</v>
      </c>
    </row>
    <row r="23" spans="1:6" x14ac:dyDescent="0.25">
      <c r="B23" s="6"/>
      <c r="C23" s="6"/>
      <c r="E23" s="18">
        <f>'BALANCE SHEET'!C17</f>
        <v>131821</v>
      </c>
      <c r="F23" s="6" t="s">
        <v>58</v>
      </c>
    </row>
    <row r="24" spans="1:6" x14ac:dyDescent="0.25">
      <c r="A24" s="3" t="s">
        <v>62</v>
      </c>
      <c r="B24" s="6"/>
      <c r="C24" s="6"/>
      <c r="E24" s="18"/>
      <c r="F24" s="6"/>
    </row>
    <row r="25" spans="1:6" x14ac:dyDescent="0.25">
      <c r="A25" t="s">
        <v>63</v>
      </c>
      <c r="B25" s="6"/>
      <c r="C25" s="7">
        <f>-E22</f>
        <v>-75038</v>
      </c>
      <c r="E25" s="18"/>
      <c r="F25" s="6"/>
    </row>
    <row r="26" spans="1:6" x14ac:dyDescent="0.25">
      <c r="B26" s="6"/>
      <c r="C26" s="6"/>
      <c r="E26" s="18"/>
      <c r="F26" s="6"/>
    </row>
    <row r="27" spans="1:6" x14ac:dyDescent="0.25">
      <c r="A27" t="s">
        <v>64</v>
      </c>
      <c r="B27" s="6"/>
      <c r="C27" s="6">
        <f>C14+C22+C25</f>
        <v>36988</v>
      </c>
    </row>
    <row r="28" spans="1:6" x14ac:dyDescent="0.25">
      <c r="A28" t="s">
        <v>65</v>
      </c>
      <c r="B28" s="6"/>
      <c r="C28" s="7">
        <f>'BALANCE SHEET'!D5</f>
        <v>83941</v>
      </c>
    </row>
    <row r="29" spans="1:6" x14ac:dyDescent="0.25">
      <c r="A29" t="s">
        <v>66</v>
      </c>
      <c r="B29" s="6"/>
      <c r="C29" s="6">
        <f>C27+C28</f>
        <v>120929</v>
      </c>
    </row>
    <row r="30" spans="1:6" x14ac:dyDescent="0.25">
      <c r="B30" s="6"/>
      <c r="C30" s="6"/>
    </row>
    <row r="31" spans="1:6" x14ac:dyDescent="0.25">
      <c r="B31" s="6"/>
      <c r="C31" s="6"/>
    </row>
    <row r="32" spans="1:6" x14ac:dyDescent="0.25">
      <c r="B32" s="6"/>
      <c r="C32" s="6"/>
    </row>
    <row r="33" spans="2:3" x14ac:dyDescent="0.25">
      <c r="B33" s="6"/>
      <c r="C33" s="6"/>
    </row>
    <row r="34" spans="2:3" x14ac:dyDescent="0.25">
      <c r="B34" s="6"/>
      <c r="C34" s="6"/>
    </row>
    <row r="35" spans="2:3" x14ac:dyDescent="0.25">
      <c r="B35" s="6"/>
      <c r="C35" s="6"/>
    </row>
    <row r="36" spans="2:3" x14ac:dyDescent="0.25">
      <c r="B36" s="6"/>
      <c r="C36" s="6"/>
    </row>
  </sheetData>
  <mergeCells count="3">
    <mergeCell ref="A1:C1"/>
    <mergeCell ref="E6:F6"/>
    <mergeCell ref="E18:F18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showGridLines="0" tabSelected="1" topLeftCell="A3" zoomScale="125" zoomScaleNormal="125" zoomScalePageLayoutView="125" workbookViewId="0">
      <selection activeCell="B25" sqref="B25"/>
    </sheetView>
  </sheetViews>
  <sheetFormatPr defaultColWidth="11" defaultRowHeight="15.75" x14ac:dyDescent="0.25"/>
  <cols>
    <col min="1" max="1" width="32.5" customWidth="1"/>
    <col min="2" max="2" width="36.875" customWidth="1"/>
    <col min="3" max="3" width="12.875" customWidth="1"/>
    <col min="4" max="4" width="13.875" customWidth="1"/>
    <col min="6" max="6" width="13" customWidth="1"/>
    <col min="7" max="7" width="19" bestFit="1" customWidth="1"/>
    <col min="8" max="8" width="5" customWidth="1"/>
    <col min="9" max="9" width="14.5" customWidth="1"/>
  </cols>
  <sheetData>
    <row r="1" spans="1:12" ht="27" thickBot="1" x14ac:dyDescent="0.45">
      <c r="A1" s="36" t="s">
        <v>0</v>
      </c>
      <c r="B1" s="36"/>
      <c r="C1" s="36"/>
      <c r="D1" s="36"/>
    </row>
    <row r="2" spans="1:12" x14ac:dyDescent="0.25">
      <c r="F2" s="37" t="s">
        <v>87</v>
      </c>
      <c r="G2" s="37"/>
      <c r="H2" s="37"/>
      <c r="I2" s="37"/>
      <c r="J2" s="37"/>
    </row>
    <row r="3" spans="1:12" x14ac:dyDescent="0.25">
      <c r="B3" s="1" t="s">
        <v>67</v>
      </c>
      <c r="C3" s="20">
        <v>30000</v>
      </c>
      <c r="D3" s="20">
        <v>110000</v>
      </c>
    </row>
    <row r="4" spans="1:12" x14ac:dyDescent="0.25">
      <c r="A4" t="s">
        <v>68</v>
      </c>
      <c r="F4" s="37" t="s">
        <v>72</v>
      </c>
      <c r="G4" s="37"/>
      <c r="I4" s="37" t="s">
        <v>73</v>
      </c>
      <c r="J4" s="37"/>
    </row>
    <row r="5" spans="1:12" x14ac:dyDescent="0.25">
      <c r="A5" t="s">
        <v>30</v>
      </c>
      <c r="B5" t="s">
        <v>71</v>
      </c>
      <c r="C5" s="6">
        <f>C3*2.84</f>
        <v>85200</v>
      </c>
      <c r="D5" s="6">
        <f>D3*2.84</f>
        <v>312400</v>
      </c>
      <c r="F5" t="s">
        <v>74</v>
      </c>
      <c r="G5">
        <v>0.35</v>
      </c>
      <c r="I5" t="s">
        <v>74</v>
      </c>
      <c r="J5">
        <v>0.35</v>
      </c>
    </row>
    <row r="6" spans="1:12" x14ac:dyDescent="0.25">
      <c r="C6" s="6"/>
      <c r="D6" s="6"/>
      <c r="F6" t="s">
        <v>75</v>
      </c>
      <c r="G6">
        <v>7.0000000000000007E-2</v>
      </c>
      <c r="I6" t="s">
        <v>76</v>
      </c>
      <c r="J6">
        <v>0.27</v>
      </c>
    </row>
    <row r="7" spans="1:12" x14ac:dyDescent="0.25">
      <c r="A7" t="s">
        <v>69</v>
      </c>
      <c r="C7" s="6"/>
      <c r="D7" s="6"/>
      <c r="F7" t="s">
        <v>77</v>
      </c>
      <c r="G7">
        <v>0.85</v>
      </c>
      <c r="I7" t="s">
        <v>77</v>
      </c>
      <c r="J7">
        <v>0.85</v>
      </c>
    </row>
    <row r="8" spans="1:12" x14ac:dyDescent="0.25">
      <c r="A8" t="s">
        <v>86</v>
      </c>
      <c r="B8" t="s">
        <v>88</v>
      </c>
      <c r="C8" s="23">
        <f>(G12*(C3/2))+(J12*(C3/2))</f>
        <v>72489.375000000015</v>
      </c>
      <c r="D8" s="23">
        <f>(G12*(D3/2))+(J12*(D3/2))</f>
        <v>265794.37500000006</v>
      </c>
      <c r="F8" t="s">
        <v>78</v>
      </c>
      <c r="G8" s="22">
        <f>1.97/128*20</f>
        <v>0.30781249999999999</v>
      </c>
      <c r="I8" t="s">
        <v>78</v>
      </c>
      <c r="J8" s="22">
        <f>1.97/128*20</f>
        <v>0.30781249999999999</v>
      </c>
      <c r="L8" t="s">
        <v>83</v>
      </c>
    </row>
    <row r="9" spans="1:12" x14ac:dyDescent="0.25">
      <c r="A9" t="s">
        <v>89</v>
      </c>
      <c r="B9" t="s">
        <v>90</v>
      </c>
      <c r="C9" s="7">
        <f>10000*2*0.25</f>
        <v>5000</v>
      </c>
      <c r="D9" s="7">
        <f>10000*2</f>
        <v>20000</v>
      </c>
      <c r="F9" t="s">
        <v>79</v>
      </c>
      <c r="G9">
        <v>0.4</v>
      </c>
      <c r="I9" t="s">
        <v>79</v>
      </c>
      <c r="J9">
        <v>0.4</v>
      </c>
    </row>
    <row r="10" spans="1:12" x14ac:dyDescent="0.25">
      <c r="A10" t="s">
        <v>91</v>
      </c>
      <c r="C10" s="6">
        <f>C8+C9</f>
        <v>77489.375000000015</v>
      </c>
      <c r="D10" s="6">
        <f>D8+D9</f>
        <v>285794.37500000006</v>
      </c>
      <c r="F10" t="s">
        <v>80</v>
      </c>
      <c r="G10">
        <f>0.15*0.7</f>
        <v>0.105</v>
      </c>
      <c r="I10" t="s">
        <v>80</v>
      </c>
      <c r="J10">
        <f>0.44*0.5</f>
        <v>0.22</v>
      </c>
      <c r="L10" t="s">
        <v>84</v>
      </c>
    </row>
    <row r="11" spans="1:12" x14ac:dyDescent="0.25">
      <c r="C11" s="6"/>
      <c r="D11" s="6"/>
      <c r="F11" t="s">
        <v>81</v>
      </c>
      <c r="G11" s="21">
        <f>0.44*0.3</f>
        <v>0.13200000000000001</v>
      </c>
      <c r="I11" t="s">
        <v>81</v>
      </c>
      <c r="J11" s="21">
        <f>0.44*0.5</f>
        <v>0.22</v>
      </c>
      <c r="L11" t="s">
        <v>85</v>
      </c>
    </row>
    <row r="12" spans="1:12" x14ac:dyDescent="0.25">
      <c r="A12" t="s">
        <v>92</v>
      </c>
      <c r="C12" s="6">
        <f>C5-C10</f>
        <v>7710.6249999999854</v>
      </c>
      <c r="D12" s="6">
        <f>D5-D10</f>
        <v>26605.624999999942</v>
      </c>
      <c r="F12" t="s">
        <v>82</v>
      </c>
      <c r="G12" s="22">
        <f>SUM(G5:G11)</f>
        <v>2.2148125000000003</v>
      </c>
      <c r="I12" t="s">
        <v>82</v>
      </c>
      <c r="J12" s="22">
        <f>SUM(J5:J11)</f>
        <v>2.6178125000000003</v>
      </c>
    </row>
    <row r="13" spans="1:12" x14ac:dyDescent="0.25">
      <c r="C13" s="6"/>
      <c r="D13" s="6"/>
    </row>
    <row r="14" spans="1:12" x14ac:dyDescent="0.25">
      <c r="A14" t="s">
        <v>70</v>
      </c>
      <c r="C14" s="6"/>
      <c r="D14" s="6"/>
      <c r="F14" s="3" t="s">
        <v>103</v>
      </c>
    </row>
    <row r="15" spans="1:12" x14ac:dyDescent="0.25">
      <c r="A15" t="s">
        <v>5</v>
      </c>
      <c r="B15" t="s">
        <v>95</v>
      </c>
      <c r="C15" s="6">
        <f>C5/360*60</f>
        <v>14200</v>
      </c>
      <c r="D15" s="6">
        <f>D5/360*60</f>
        <v>52066.666666666672</v>
      </c>
      <c r="F15" t="s">
        <v>104</v>
      </c>
    </row>
    <row r="16" spans="1:12" x14ac:dyDescent="0.25">
      <c r="A16" t="s">
        <v>7</v>
      </c>
      <c r="B16" t="s">
        <v>96</v>
      </c>
      <c r="C16" s="26">
        <f>C8/360*85</f>
        <v>17115.546875000004</v>
      </c>
      <c r="D16" s="26">
        <f>D8/360*85</f>
        <v>62757.005208333343</v>
      </c>
      <c r="F16" s="27">
        <f>(G12+J12)/2</f>
        <v>2.4163125000000001</v>
      </c>
    </row>
    <row r="17" spans="1:6" x14ac:dyDescent="0.25">
      <c r="A17" t="s">
        <v>19</v>
      </c>
      <c r="B17" t="s">
        <v>97</v>
      </c>
      <c r="C17" s="7">
        <f>-C8/360*64</f>
        <v>-12887.000000000002</v>
      </c>
      <c r="D17" s="7">
        <f>-D8/360*64</f>
        <v>-47252.333333333343</v>
      </c>
    </row>
    <row r="18" spans="1:6" x14ac:dyDescent="0.25">
      <c r="A18" t="s">
        <v>98</v>
      </c>
      <c r="C18" s="6">
        <f>SUM(C15:C17)</f>
        <v>18428.546875</v>
      </c>
      <c r="D18" s="6">
        <f>SUM(D15:D17)</f>
        <v>67571.338541666672</v>
      </c>
      <c r="F18" t="s">
        <v>93</v>
      </c>
    </row>
    <row r="19" spans="1:6" x14ac:dyDescent="0.25">
      <c r="C19" s="6"/>
      <c r="D19" s="6"/>
      <c r="F19" t="s">
        <v>94</v>
      </c>
    </row>
    <row r="20" spans="1:6" x14ac:dyDescent="0.25">
      <c r="A20" t="s">
        <v>99</v>
      </c>
      <c r="B20" t="s">
        <v>101</v>
      </c>
      <c r="C20" s="25">
        <f>C12/C18</f>
        <v>0.41840656522192476</v>
      </c>
      <c r="D20" s="25">
        <f>D12/D18</f>
        <v>0.39374127513537494</v>
      </c>
      <c r="F20" s="24">
        <f>'BALANCE SHEET'!B6/('INCOME STATEMENT'!B5/360)</f>
        <v>208.74174997021649</v>
      </c>
    </row>
    <row r="21" spans="1:6" x14ac:dyDescent="0.25">
      <c r="A21" t="s">
        <v>100</v>
      </c>
      <c r="B21" t="s">
        <v>102</v>
      </c>
      <c r="C21" s="25">
        <f>C18/C12</f>
        <v>2.3900198589608541</v>
      </c>
      <c r="D21" s="25">
        <f>D18/D12</f>
        <v>2.5397388161964556</v>
      </c>
    </row>
    <row r="22" spans="1:6" x14ac:dyDescent="0.25">
      <c r="C22" s="6"/>
      <c r="D22" s="6"/>
    </row>
    <row r="23" spans="1:6" x14ac:dyDescent="0.25">
      <c r="A23" t="s">
        <v>105</v>
      </c>
      <c r="B23" t="s">
        <v>106</v>
      </c>
      <c r="C23" s="6">
        <f>(C18+C9)/(2.84-F16)</f>
        <v>55296.762059300811</v>
      </c>
      <c r="D23" s="6">
        <f>(D18+D9)/(2.84-F16)</f>
        <v>206688.51108816455</v>
      </c>
    </row>
    <row r="24" spans="1:6" x14ac:dyDescent="0.25">
      <c r="A24" t="s">
        <v>107</v>
      </c>
      <c r="B24" t="s">
        <v>108</v>
      </c>
      <c r="C24" s="6"/>
      <c r="D24" s="6"/>
    </row>
    <row r="25" spans="1:6" x14ac:dyDescent="0.25">
      <c r="A25" t="s">
        <v>109</v>
      </c>
      <c r="B25" t="s">
        <v>110</v>
      </c>
      <c r="C25" s="6"/>
      <c r="D25" s="6"/>
    </row>
    <row r="26" spans="1:6" x14ac:dyDescent="0.25">
      <c r="C26" s="5"/>
    </row>
    <row r="27" spans="1:6" x14ac:dyDescent="0.25">
      <c r="A27" t="s">
        <v>155</v>
      </c>
      <c r="C27" s="6">
        <f>(C18+C9)/(3-$F$16)</f>
        <v>40138.853196273696</v>
      </c>
      <c r="D27" s="6">
        <f>(D18+D9)/(3-$F$16)</f>
        <v>150031.20426883679</v>
      </c>
    </row>
    <row r="29" spans="1:6" x14ac:dyDescent="0.25">
      <c r="A29" t="s">
        <v>156</v>
      </c>
      <c r="C29" s="6">
        <f>(C18+C9)/(2.89-$F$16)</f>
        <v>49459.922153318374</v>
      </c>
      <c r="D29" s="6">
        <f>(D18+D9)/(2.89-$F$16)</f>
        <v>184871.54198003255</v>
      </c>
    </row>
  </sheetData>
  <mergeCells count="4">
    <mergeCell ref="A1:D1"/>
    <mergeCell ref="F2:J2"/>
    <mergeCell ref="F4:G4"/>
    <mergeCell ref="I4:J4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zoomScale="125" zoomScaleNormal="125" zoomScalePageLayoutView="125" workbookViewId="0">
      <selection activeCell="I17" sqref="I17"/>
    </sheetView>
  </sheetViews>
  <sheetFormatPr defaultColWidth="11" defaultRowHeight="15.75" x14ac:dyDescent="0.25"/>
  <cols>
    <col min="1" max="1" width="43.625" customWidth="1"/>
    <col min="2" max="2" width="38.375" customWidth="1"/>
    <col min="3" max="3" width="17.5" customWidth="1"/>
    <col min="4" max="4" width="2.875" customWidth="1"/>
    <col min="5" max="5" width="14" customWidth="1"/>
    <col min="6" max="6" width="2.875" customWidth="1"/>
    <col min="7" max="7" width="13.125" bestFit="1" customWidth="1"/>
    <col min="8" max="8" width="3.125" customWidth="1"/>
    <col min="9" max="9" width="15.125" bestFit="1" customWidth="1"/>
  </cols>
  <sheetData>
    <row r="1" spans="1:9" ht="27" thickBot="1" x14ac:dyDescent="0.45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3" spans="1:9" x14ac:dyDescent="0.25">
      <c r="B3" s="28" t="s">
        <v>67</v>
      </c>
      <c r="C3" s="28">
        <v>2005</v>
      </c>
      <c r="D3" s="28"/>
      <c r="E3" s="28" t="s">
        <v>120</v>
      </c>
      <c r="F3" s="28"/>
      <c r="G3" s="28" t="s">
        <v>121</v>
      </c>
      <c r="H3" s="28"/>
      <c r="I3" s="28" t="s">
        <v>154</v>
      </c>
    </row>
    <row r="4" spans="1:9" x14ac:dyDescent="0.25">
      <c r="A4" t="s">
        <v>111</v>
      </c>
    </row>
    <row r="5" spans="1:9" x14ac:dyDescent="0.25">
      <c r="A5" t="s">
        <v>30</v>
      </c>
      <c r="B5" t="s">
        <v>112</v>
      </c>
      <c r="C5" s="6">
        <v>461665</v>
      </c>
      <c r="D5" s="6"/>
      <c r="E5" s="6">
        <f>C5*2.71</f>
        <v>1251112.1499999999</v>
      </c>
      <c r="F5" s="6"/>
      <c r="G5" s="6">
        <f>C5*2.71</f>
        <v>1251112.1499999999</v>
      </c>
      <c r="H5" s="6"/>
      <c r="I5" s="26">
        <f>C5*2.71</f>
        <v>1251112.1499999999</v>
      </c>
    </row>
    <row r="6" spans="1:9" x14ac:dyDescent="0.25">
      <c r="A6" t="s">
        <v>157</v>
      </c>
      <c r="B6" t="s">
        <v>113</v>
      </c>
      <c r="C6" s="6"/>
      <c r="D6" s="6"/>
      <c r="E6" s="6">
        <f>DIFFERENTIAL!C5</f>
        <v>85200</v>
      </c>
      <c r="F6" s="6"/>
      <c r="G6" s="6">
        <f>DIFFERENTIAL!D5</f>
        <v>312400</v>
      </c>
      <c r="H6" s="6"/>
      <c r="I6" s="6">
        <v>0</v>
      </c>
    </row>
    <row r="7" spans="1:9" x14ac:dyDescent="0.25">
      <c r="A7" t="s">
        <v>31</v>
      </c>
      <c r="B7" t="s">
        <v>114</v>
      </c>
      <c r="C7" s="29">
        <v>-487524</v>
      </c>
      <c r="D7" s="29"/>
      <c r="E7" s="29">
        <f>-E5*0.65</f>
        <v>-813222.89749999996</v>
      </c>
      <c r="F7" s="29"/>
      <c r="G7" s="29">
        <f>-G5*0.65</f>
        <v>-813222.89749999996</v>
      </c>
      <c r="H7" s="29"/>
      <c r="I7" s="6">
        <f>-I5*0.65</f>
        <v>-813222.89749999996</v>
      </c>
    </row>
    <row r="8" spans="1:9" x14ac:dyDescent="0.25">
      <c r="A8" t="s">
        <v>158</v>
      </c>
      <c r="B8" t="s">
        <v>113</v>
      </c>
      <c r="C8" s="7"/>
      <c r="D8" s="29"/>
      <c r="E8" s="7">
        <f>-DIFFERENTIAL!C8</f>
        <v>-72489.375000000015</v>
      </c>
      <c r="F8" s="29"/>
      <c r="G8" s="7">
        <f>-DIFFERENTIAL!D8</f>
        <v>-265794.37500000006</v>
      </c>
      <c r="H8" s="29"/>
      <c r="I8" s="7">
        <v>0</v>
      </c>
    </row>
    <row r="9" spans="1:9" x14ac:dyDescent="0.25">
      <c r="A9" t="s">
        <v>32</v>
      </c>
      <c r="C9" s="6">
        <f>C5+C7</f>
        <v>-25859</v>
      </c>
      <c r="D9" s="6"/>
      <c r="E9" s="6">
        <f>SUM(E5:E8)</f>
        <v>450599.87749999994</v>
      </c>
      <c r="F9" s="6"/>
      <c r="G9" s="6">
        <f>SUM(G5:G8)</f>
        <v>484494.87749999989</v>
      </c>
      <c r="H9" s="6"/>
      <c r="I9" s="6">
        <f>I5+I7</f>
        <v>437889.25249999994</v>
      </c>
    </row>
    <row r="10" spans="1:9" x14ac:dyDescent="0.25">
      <c r="C10" s="6"/>
      <c r="D10" s="6"/>
      <c r="E10" s="6"/>
      <c r="F10" s="6"/>
      <c r="G10" s="6"/>
      <c r="H10" s="6"/>
      <c r="I10" s="6"/>
    </row>
    <row r="11" spans="1:9" x14ac:dyDescent="0.25">
      <c r="A11" t="s">
        <v>115</v>
      </c>
      <c r="B11" t="s">
        <v>122</v>
      </c>
      <c r="C11" s="29">
        <v>1035769</v>
      </c>
      <c r="D11" s="29"/>
      <c r="E11" s="29">
        <f>C11*1.5</f>
        <v>1553653.5</v>
      </c>
      <c r="F11" s="29"/>
      <c r="G11" s="29">
        <f>C11*1.5</f>
        <v>1553653.5</v>
      </c>
      <c r="H11" s="29"/>
      <c r="I11" s="6">
        <f>C11*1.5</f>
        <v>1553653.5</v>
      </c>
    </row>
    <row r="12" spans="1:9" x14ac:dyDescent="0.25">
      <c r="A12" t="s">
        <v>89</v>
      </c>
      <c r="B12" t="s">
        <v>113</v>
      </c>
      <c r="C12" s="7"/>
      <c r="D12" s="29"/>
      <c r="E12" s="7">
        <f>DIFFERENTIAL!C9</f>
        <v>5000</v>
      </c>
      <c r="F12" s="29"/>
      <c r="G12" s="7">
        <f>DIFFERENTIAL!D9</f>
        <v>20000</v>
      </c>
      <c r="H12" s="29"/>
      <c r="I12" s="7">
        <v>0</v>
      </c>
    </row>
    <row r="13" spans="1:9" x14ac:dyDescent="0.25">
      <c r="A13" t="s">
        <v>116</v>
      </c>
      <c r="C13" s="6">
        <f>C11+C12</f>
        <v>1035769</v>
      </c>
      <c r="D13" s="6"/>
      <c r="E13" s="6">
        <f>E11+E12</f>
        <v>1558653.5</v>
      </c>
      <c r="F13" s="6"/>
      <c r="G13" s="6">
        <f>G11+G12</f>
        <v>1573653.5</v>
      </c>
      <c r="H13" s="6"/>
      <c r="I13" s="6">
        <f>I11+I12</f>
        <v>1553653.5</v>
      </c>
    </row>
    <row r="14" spans="1:9" x14ac:dyDescent="0.25">
      <c r="C14" s="6"/>
      <c r="D14" s="6"/>
      <c r="E14" s="6"/>
      <c r="F14" s="6"/>
      <c r="G14" s="6"/>
      <c r="H14" s="6"/>
      <c r="I14" s="6"/>
    </row>
    <row r="15" spans="1:9" x14ac:dyDescent="0.25">
      <c r="A15" t="s">
        <v>117</v>
      </c>
      <c r="C15" s="6">
        <f>C9-C13</f>
        <v>-1061628</v>
      </c>
      <c r="D15" s="6"/>
      <c r="E15" s="6">
        <f>E9-E13</f>
        <v>-1108053.6225000001</v>
      </c>
      <c r="F15" s="6"/>
      <c r="G15" s="6">
        <f>G9-G13</f>
        <v>-1089158.6225000001</v>
      </c>
      <c r="H15" s="6"/>
      <c r="I15" s="6">
        <f>I9-I13</f>
        <v>-1115764.2475000001</v>
      </c>
    </row>
    <row r="16" spans="1:9" x14ac:dyDescent="0.25">
      <c r="A16" t="s">
        <v>48</v>
      </c>
      <c r="B16" t="s">
        <v>118</v>
      </c>
      <c r="C16" s="7">
        <v>0</v>
      </c>
      <c r="D16" s="29"/>
      <c r="E16" s="7">
        <v>0</v>
      </c>
      <c r="F16" s="29"/>
      <c r="G16" s="7">
        <v>0</v>
      </c>
      <c r="H16" s="29"/>
      <c r="I16" s="7">
        <v>0</v>
      </c>
    </row>
    <row r="17" spans="1:9" x14ac:dyDescent="0.25">
      <c r="A17" t="s">
        <v>119</v>
      </c>
      <c r="C17" s="6">
        <f>C15-C16</f>
        <v>-1061628</v>
      </c>
      <c r="D17" s="6"/>
      <c r="E17" s="6">
        <f>E15+E16</f>
        <v>-1108053.6225000001</v>
      </c>
      <c r="F17" s="6"/>
      <c r="G17" s="6">
        <f>G15+G16</f>
        <v>-1089158.6225000001</v>
      </c>
      <c r="H17" s="6"/>
      <c r="I17" s="6">
        <f>I15-I16</f>
        <v>-1115764.2475000001</v>
      </c>
    </row>
    <row r="18" spans="1:9" x14ac:dyDescent="0.25">
      <c r="C18" s="6"/>
      <c r="D18" s="6"/>
      <c r="E18" s="6"/>
      <c r="F18" s="6"/>
      <c r="G18" s="6"/>
      <c r="H18" s="6"/>
    </row>
  </sheetData>
  <mergeCells count="1">
    <mergeCell ref="A1:I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showGridLines="0" topLeftCell="A4" workbookViewId="0">
      <selection activeCell="F11" sqref="F11"/>
    </sheetView>
  </sheetViews>
  <sheetFormatPr defaultColWidth="11" defaultRowHeight="15.75" x14ac:dyDescent="0.25"/>
  <cols>
    <col min="1" max="1" width="42.625" customWidth="1"/>
    <col min="2" max="2" width="39" customWidth="1"/>
    <col min="3" max="3" width="13.625" bestFit="1" customWidth="1"/>
    <col min="4" max="4" width="13.125" bestFit="1" customWidth="1"/>
    <col min="5" max="5" width="4.375" customWidth="1"/>
    <col min="6" max="6" width="14.125" bestFit="1" customWidth="1"/>
    <col min="7" max="7" width="13.125" bestFit="1" customWidth="1"/>
    <col min="8" max="8" width="3.875" customWidth="1"/>
    <col min="9" max="9" width="13.625" bestFit="1" customWidth="1"/>
    <col min="10" max="10" width="13.125" bestFit="1" customWidth="1"/>
    <col min="11" max="11" width="3.875" customWidth="1"/>
    <col min="12" max="13" width="13.125" customWidth="1"/>
  </cols>
  <sheetData>
    <row r="1" spans="1:15" ht="27" thickBot="1" x14ac:dyDescent="0.45">
      <c r="A1" s="36" t="s">
        <v>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3" spans="1:15" x14ac:dyDescent="0.25">
      <c r="O3" s="3" t="s">
        <v>145</v>
      </c>
    </row>
    <row r="4" spans="1:15" x14ac:dyDescent="0.25">
      <c r="O4" t="s">
        <v>144</v>
      </c>
    </row>
    <row r="5" spans="1:15" x14ac:dyDescent="0.25">
      <c r="B5" s="14" t="s">
        <v>67</v>
      </c>
      <c r="C5" s="37">
        <v>2005</v>
      </c>
      <c r="D5" s="37"/>
      <c r="E5" s="14"/>
      <c r="F5" s="37" t="s">
        <v>120</v>
      </c>
      <c r="G5" s="37"/>
      <c r="H5" s="14"/>
      <c r="I5" s="37" t="s">
        <v>121</v>
      </c>
      <c r="J5" s="37"/>
      <c r="K5" s="14"/>
      <c r="L5" s="37" t="s">
        <v>154</v>
      </c>
      <c r="M5" s="37"/>
      <c r="O5">
        <f>'BALANCE SHEET'!D6/('INCOME STATEMENT'!E5/360)</f>
        <v>70.852493538814969</v>
      </c>
    </row>
    <row r="6" spans="1:15" x14ac:dyDescent="0.25">
      <c r="A6" t="s">
        <v>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5" x14ac:dyDescent="0.25">
      <c r="A7" t="s">
        <v>123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O7" s="3" t="s">
        <v>147</v>
      </c>
    </row>
    <row r="8" spans="1:15" x14ac:dyDescent="0.25">
      <c r="A8" t="s">
        <v>4</v>
      </c>
      <c r="B8" t="s">
        <v>124</v>
      </c>
      <c r="C8" s="6">
        <v>120929</v>
      </c>
      <c r="D8" s="6"/>
      <c r="E8" s="6"/>
      <c r="F8" s="6">
        <f>C8</f>
        <v>120929</v>
      </c>
      <c r="G8" s="6"/>
      <c r="H8" s="6"/>
      <c r="I8" s="6">
        <f>C8</f>
        <v>120929</v>
      </c>
      <c r="J8" s="6"/>
      <c r="K8" s="6"/>
      <c r="L8" s="6">
        <f>C8</f>
        <v>120929</v>
      </c>
      <c r="M8" s="6"/>
      <c r="O8" t="s">
        <v>148</v>
      </c>
    </row>
    <row r="9" spans="1:15" x14ac:dyDescent="0.25">
      <c r="A9" t="s">
        <v>5</v>
      </c>
      <c r="B9" t="s">
        <v>146</v>
      </c>
      <c r="C9" s="6">
        <v>267691</v>
      </c>
      <c r="D9" s="6"/>
      <c r="E9" s="6"/>
      <c r="F9" s="6">
        <f>(('PROJECTED INCOME STATEMENT'!E5/360)*'PROJECTED BALANCE SHEET'!O5)+DIFFERENTIAL!C15</f>
        <v>260434.48756724416</v>
      </c>
      <c r="G9" s="6"/>
      <c r="H9" s="6"/>
      <c r="I9" s="6">
        <f>(('PROJECTED INCOME STATEMENT'!G5/360)*'PROJECTED BALANCE SHEET'!O5)+DIFFERENTIAL!D15</f>
        <v>298301.15423391084</v>
      </c>
      <c r="J9" s="6"/>
      <c r="K9" s="6"/>
      <c r="L9" s="6">
        <f>'PROJECTED INCOME STATEMENT'!I5/360*'PROJECTED BALANCE SHEET'!O5</f>
        <v>246234.48756724416</v>
      </c>
      <c r="M9" s="6"/>
      <c r="O9">
        <f>'BALANCE SHEET'!B8/(-'INCOME STATEMENT'!B6/360)</f>
        <v>311.6006596598321</v>
      </c>
    </row>
    <row r="10" spans="1:15" x14ac:dyDescent="0.25">
      <c r="A10" t="s">
        <v>6</v>
      </c>
      <c r="B10" t="s">
        <v>143</v>
      </c>
      <c r="C10" s="6">
        <v>75000</v>
      </c>
      <c r="D10" s="6"/>
      <c r="E10" s="6"/>
      <c r="F10" s="6">
        <v>0</v>
      </c>
      <c r="G10" s="6"/>
      <c r="H10" s="6"/>
      <c r="I10" s="6">
        <v>0</v>
      </c>
      <c r="J10" s="6"/>
      <c r="K10" s="6"/>
      <c r="L10" s="6">
        <v>0</v>
      </c>
      <c r="M10" s="6"/>
    </row>
    <row r="11" spans="1:15" x14ac:dyDescent="0.25">
      <c r="A11" t="s">
        <v>7</v>
      </c>
      <c r="B11" t="s">
        <v>149</v>
      </c>
      <c r="C11" s="6">
        <v>421980</v>
      </c>
      <c r="D11" s="6"/>
      <c r="E11" s="6"/>
      <c r="F11" s="6">
        <f>((-'PROJECTED INCOME STATEMENT'!E7/360)*'PROJECTED BALANCE SHEET'!O9)+DIFFERENTIAL!C16</f>
        <v>721006.6338513334</v>
      </c>
      <c r="G11" s="6"/>
      <c r="H11" s="6"/>
      <c r="I11" s="6">
        <f>((-'PROJECTED INCOME STATEMENT'!G7/360)*'PROJECTED BALANCE SHEET'!O9)+DIFFERENTIAL!D16</f>
        <v>766648.09218466678</v>
      </c>
      <c r="J11" s="6"/>
      <c r="K11" s="6"/>
      <c r="L11" s="6">
        <f>-'PROJECTED INCOME STATEMENT'!I7/360*'PROJECTED BALANCE SHEET'!O9</f>
        <v>703891.0869763334</v>
      </c>
      <c r="M11" s="6"/>
    </row>
    <row r="12" spans="1:15" x14ac:dyDescent="0.25">
      <c r="A12" t="s">
        <v>8</v>
      </c>
      <c r="B12" t="s">
        <v>126</v>
      </c>
      <c r="C12" s="7">
        <v>30600</v>
      </c>
      <c r="D12" s="6"/>
      <c r="E12" s="6"/>
      <c r="F12" s="7">
        <f>C12*1.5</f>
        <v>45900</v>
      </c>
      <c r="G12" s="6"/>
      <c r="H12" s="6"/>
      <c r="I12" s="7">
        <f>C12*1.5</f>
        <v>45900</v>
      </c>
      <c r="J12" s="6"/>
      <c r="K12" s="6"/>
      <c r="L12" s="7">
        <f>C12*1.5</f>
        <v>45900</v>
      </c>
      <c r="M12" s="6"/>
    </row>
    <row r="13" spans="1:15" x14ac:dyDescent="0.25">
      <c r="A13" t="s">
        <v>9</v>
      </c>
      <c r="C13" s="6"/>
      <c r="D13" s="6">
        <f>SUM(C8:C12)</f>
        <v>916200</v>
      </c>
      <c r="E13" s="6"/>
      <c r="F13" s="6"/>
      <c r="G13" s="6">
        <f>SUM(F8:F12)</f>
        <v>1148270.1214185776</v>
      </c>
      <c r="H13" s="6"/>
      <c r="I13" s="6"/>
      <c r="J13" s="6">
        <f>SUM(I8:I12)</f>
        <v>1231778.2464185776</v>
      </c>
      <c r="K13" s="6"/>
      <c r="L13" s="6"/>
      <c r="M13" s="6">
        <f>SUM(L8:L12)</f>
        <v>1116954.5745435776</v>
      </c>
    </row>
    <row r="14" spans="1:15" x14ac:dyDescent="0.25"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5" x14ac:dyDescent="0.25">
      <c r="A15" t="s">
        <v>127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5" x14ac:dyDescent="0.25">
      <c r="A16" t="s">
        <v>11</v>
      </c>
      <c r="B16" t="s">
        <v>128</v>
      </c>
      <c r="C16" s="6">
        <v>151712</v>
      </c>
      <c r="D16" s="6"/>
      <c r="E16" s="6"/>
      <c r="F16" s="6">
        <f>C16+47710</f>
        <v>199422</v>
      </c>
      <c r="G16" s="6"/>
      <c r="H16" s="6"/>
      <c r="I16" s="6">
        <f>C16+47710</f>
        <v>199422</v>
      </c>
      <c r="J16" s="6"/>
      <c r="K16" s="6"/>
      <c r="L16" s="6">
        <f>C16+47710</f>
        <v>199422</v>
      </c>
      <c r="M16" s="6"/>
    </row>
    <row r="17" spans="1:15" x14ac:dyDescent="0.25">
      <c r="A17" t="s">
        <v>129</v>
      </c>
      <c r="B17" t="s">
        <v>130</v>
      </c>
      <c r="C17" s="7">
        <v>-57405</v>
      </c>
      <c r="D17" s="6">
        <f>C16+C17</f>
        <v>94307</v>
      </c>
      <c r="E17" s="6"/>
      <c r="F17" s="7">
        <f>C17-28475</f>
        <v>-85880</v>
      </c>
      <c r="G17" s="6">
        <f>F16+F17</f>
        <v>113542</v>
      </c>
      <c r="H17" s="6"/>
      <c r="I17" s="7">
        <f>C17-28475</f>
        <v>-85880</v>
      </c>
      <c r="J17" s="6">
        <f>I16+I17</f>
        <v>113542</v>
      </c>
      <c r="K17" s="6"/>
      <c r="L17" s="7">
        <f>C17-28475</f>
        <v>-85880</v>
      </c>
      <c r="M17" s="6">
        <f>L16+L17</f>
        <v>113542</v>
      </c>
    </row>
    <row r="18" spans="1:15" x14ac:dyDescent="0.25">
      <c r="A18" t="s">
        <v>13</v>
      </c>
      <c r="B18" t="s">
        <v>131</v>
      </c>
      <c r="C18" s="6">
        <v>42059</v>
      </c>
      <c r="D18" s="6"/>
      <c r="E18" s="6"/>
      <c r="F18" s="6">
        <v>42059</v>
      </c>
      <c r="G18" s="6"/>
      <c r="H18" s="6"/>
      <c r="I18" s="6">
        <v>42059</v>
      </c>
      <c r="J18" s="6"/>
      <c r="K18" s="6"/>
      <c r="L18" s="6">
        <f>C18</f>
        <v>42059</v>
      </c>
      <c r="M18" s="6"/>
    </row>
    <row r="19" spans="1:15" x14ac:dyDescent="0.25">
      <c r="A19" t="s">
        <v>132</v>
      </c>
      <c r="B19" t="s">
        <v>133</v>
      </c>
      <c r="C19" s="7">
        <v>-4545</v>
      </c>
      <c r="D19" s="7">
        <f>C18+C19</f>
        <v>37514</v>
      </c>
      <c r="E19" s="29"/>
      <c r="F19" s="7">
        <f>C19-1770</f>
        <v>-6315</v>
      </c>
      <c r="G19" s="7">
        <f>F18+F19</f>
        <v>35744</v>
      </c>
      <c r="H19" s="29"/>
      <c r="I19" s="7">
        <f>C19-1770</f>
        <v>-6315</v>
      </c>
      <c r="J19" s="7">
        <f>I18+I19</f>
        <v>35744</v>
      </c>
      <c r="K19" s="29"/>
      <c r="L19" s="7">
        <f>C19-1770</f>
        <v>-6315</v>
      </c>
      <c r="M19" s="7">
        <f>L18+L19</f>
        <v>35744</v>
      </c>
    </row>
    <row r="20" spans="1:15" x14ac:dyDescent="0.25">
      <c r="A20" t="s">
        <v>15</v>
      </c>
      <c r="C20" s="6"/>
      <c r="D20" s="6">
        <f>D17+D19</f>
        <v>131821</v>
      </c>
      <c r="E20" s="6"/>
      <c r="F20" s="6"/>
      <c r="G20" s="6">
        <f>G17+G19</f>
        <v>149286</v>
      </c>
      <c r="H20" s="6"/>
      <c r="I20" s="6"/>
      <c r="J20" s="6">
        <f>J17+J19</f>
        <v>149286</v>
      </c>
      <c r="K20" s="6"/>
      <c r="L20" s="6"/>
      <c r="M20" s="6">
        <f>M17+M19</f>
        <v>149286</v>
      </c>
    </row>
    <row r="21" spans="1:15" x14ac:dyDescent="0.25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5" ht="16.5" thickBot="1" x14ac:dyDescent="0.3">
      <c r="A22" s="3" t="s">
        <v>16</v>
      </c>
      <c r="B22" s="3"/>
      <c r="C22" s="31"/>
      <c r="D22" s="32">
        <f>D20+D13</f>
        <v>1048021</v>
      </c>
      <c r="E22" s="34"/>
      <c r="F22" s="31"/>
      <c r="G22" s="32">
        <v>1105309.3568667423</v>
      </c>
      <c r="H22" s="34"/>
      <c r="I22" s="31"/>
      <c r="J22" s="32">
        <v>1021801.2318667423</v>
      </c>
      <c r="K22" s="34"/>
      <c r="L22" s="31"/>
      <c r="M22" s="32">
        <f>M13+M20</f>
        <v>1266240.5745435776</v>
      </c>
    </row>
    <row r="23" spans="1:15" ht="16.5" thickTop="1" x14ac:dyDescent="0.25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5" x14ac:dyDescent="0.25">
      <c r="A24" t="s">
        <v>134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5" x14ac:dyDescent="0.25">
      <c r="A25" t="s">
        <v>135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5" x14ac:dyDescent="0.25">
      <c r="A26" t="s">
        <v>18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5" x14ac:dyDescent="0.25">
      <c r="A27" t="s">
        <v>19</v>
      </c>
      <c r="B27" t="s">
        <v>152</v>
      </c>
      <c r="C27" s="6">
        <v>228020</v>
      </c>
      <c r="D27" s="6"/>
      <c r="E27" s="6"/>
      <c r="F27" s="6">
        <f>((-'PROJECTED INCOME STATEMENT'!E7/360)*'PROJECTED BALANCE SHEET'!O29)+(-DIFFERENTIAL!C17)</f>
        <v>393239.73153311427</v>
      </c>
      <c r="G27" s="6"/>
      <c r="H27" s="6"/>
      <c r="I27" s="6">
        <f>((-'PROJECTED INCOME STATEMENT'!G7/360)*'PROJECTED BALANCE SHEET'!O29)+(-DIFFERENTIAL!D17)</f>
        <v>427605.06486644759</v>
      </c>
      <c r="J27" s="6"/>
      <c r="K27" s="6"/>
      <c r="L27" s="6">
        <f>-'PROJECTED INCOME STATEMENT'!I7/360*'PROJECTED BALANCE SHEET'!O29</f>
        <v>380352.73153311427</v>
      </c>
      <c r="M27" s="6"/>
      <c r="O27" t="s">
        <v>150</v>
      </c>
    </row>
    <row r="28" spans="1:15" x14ac:dyDescent="0.25">
      <c r="A28" t="s">
        <v>20</v>
      </c>
      <c r="B28" t="s">
        <v>125</v>
      </c>
      <c r="C28" s="6">
        <v>48927</v>
      </c>
      <c r="D28" s="6"/>
      <c r="E28" s="6"/>
      <c r="F28" s="6">
        <f>C28</f>
        <v>48927</v>
      </c>
      <c r="G28" s="6"/>
      <c r="H28" s="6"/>
      <c r="I28" s="6">
        <f>C28</f>
        <v>48927</v>
      </c>
      <c r="J28" s="6"/>
      <c r="K28" s="6"/>
      <c r="L28" s="6">
        <f>C28</f>
        <v>48927</v>
      </c>
      <c r="M28" s="6"/>
      <c r="O28" t="s">
        <v>151</v>
      </c>
    </row>
    <row r="29" spans="1:15" x14ac:dyDescent="0.25">
      <c r="A29" t="s">
        <v>21</v>
      </c>
      <c r="B29" t="s">
        <v>136</v>
      </c>
      <c r="C29" s="6">
        <v>21348</v>
      </c>
      <c r="D29" s="6"/>
      <c r="E29" s="6"/>
      <c r="F29" s="6">
        <v>0</v>
      </c>
      <c r="G29" s="6"/>
      <c r="H29" s="6"/>
      <c r="I29" s="6">
        <v>0</v>
      </c>
      <c r="J29" s="6"/>
      <c r="K29" s="6"/>
      <c r="L29" s="6">
        <v>0</v>
      </c>
      <c r="M29" s="6"/>
      <c r="O29">
        <f>'BALANCE SHEET'!B23/(-'INCOME STATEMENT'!B6/360)</f>
        <v>168.37571073424078</v>
      </c>
    </row>
    <row r="30" spans="1:15" x14ac:dyDescent="0.25">
      <c r="A30" t="s">
        <v>22</v>
      </c>
      <c r="B30" t="s">
        <v>125</v>
      </c>
      <c r="C30" s="7">
        <v>149988</v>
      </c>
      <c r="D30" s="6"/>
      <c r="E30" s="6"/>
      <c r="F30" s="7">
        <f>C30</f>
        <v>149988</v>
      </c>
      <c r="G30" s="6"/>
      <c r="H30" s="6"/>
      <c r="I30" s="7">
        <f>C30</f>
        <v>149988</v>
      </c>
      <c r="J30" s="6"/>
      <c r="K30" s="6"/>
      <c r="L30" s="7">
        <f>C30</f>
        <v>149988</v>
      </c>
      <c r="M30" s="6"/>
    </row>
    <row r="31" spans="1:15" x14ac:dyDescent="0.25">
      <c r="A31" t="s">
        <v>137</v>
      </c>
      <c r="C31" s="6"/>
      <c r="D31" s="6">
        <f>SUM(C27:C30)</f>
        <v>448283</v>
      </c>
      <c r="E31" s="6"/>
      <c r="F31" s="6"/>
      <c r="G31" s="6">
        <f>SUM(F27:F30)</f>
        <v>592154.73153311433</v>
      </c>
      <c r="H31" s="6"/>
      <c r="I31" s="6"/>
      <c r="J31" s="6">
        <f>SUM(I27:I30)</f>
        <v>626520.06486644759</v>
      </c>
      <c r="K31" s="6"/>
      <c r="L31" s="6"/>
      <c r="M31" s="6">
        <f>SUM(L27:L30)</f>
        <v>579267.73153311433</v>
      </c>
    </row>
    <row r="32" spans="1:15" x14ac:dyDescent="0.25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x14ac:dyDescent="0.25">
      <c r="A33" t="s">
        <v>138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25">
      <c r="A34" t="s">
        <v>153</v>
      </c>
      <c r="B34" t="s">
        <v>139</v>
      </c>
      <c r="C34" s="6"/>
      <c r="D34" s="6"/>
      <c r="E34" s="6"/>
      <c r="F34" s="33">
        <f>G39-(SUM(F35:F38))</f>
        <v>1021470.247833628</v>
      </c>
      <c r="G34" s="6"/>
      <c r="H34" s="6"/>
      <c r="I34" s="33">
        <f>J39-(SUM(I35:I38))</f>
        <v>884701.78950029472</v>
      </c>
      <c r="J34" s="6"/>
      <c r="K34" s="6"/>
      <c r="L34" s="33">
        <f>M39-(SUM(L35:L38))</f>
        <v>1202999.0905104633</v>
      </c>
      <c r="M34" s="6"/>
    </row>
    <row r="35" spans="1:13" x14ac:dyDescent="0.25">
      <c r="A35" t="s">
        <v>24</v>
      </c>
      <c r="B35" t="s">
        <v>125</v>
      </c>
      <c r="C35" s="6">
        <v>292011</v>
      </c>
      <c r="D35" s="6"/>
      <c r="E35" s="6"/>
      <c r="F35" s="6">
        <f>C35</f>
        <v>292011</v>
      </c>
      <c r="G35" s="6"/>
      <c r="H35" s="6"/>
      <c r="I35" s="6">
        <f>C35</f>
        <v>292011</v>
      </c>
      <c r="J35" s="6"/>
      <c r="K35" s="6"/>
      <c r="L35" s="6">
        <f>C35</f>
        <v>292011</v>
      </c>
      <c r="M35" s="6"/>
    </row>
    <row r="36" spans="1:13" x14ac:dyDescent="0.25">
      <c r="A36" t="s">
        <v>140</v>
      </c>
      <c r="B36" t="s">
        <v>125</v>
      </c>
      <c r="C36" s="6">
        <v>1117000</v>
      </c>
      <c r="D36" s="30"/>
      <c r="E36" s="30"/>
      <c r="F36" s="6">
        <f t="shared" ref="F36:F37" si="0">C36</f>
        <v>1117000</v>
      </c>
      <c r="G36" s="6"/>
      <c r="H36" s="6"/>
      <c r="I36" s="6">
        <f t="shared" ref="I36:I37" si="1">C36</f>
        <v>1117000</v>
      </c>
      <c r="J36" s="6"/>
      <c r="K36" s="6"/>
      <c r="L36" s="6">
        <f t="shared" ref="L36:L37" si="2">C36</f>
        <v>1117000</v>
      </c>
      <c r="M36" s="6"/>
    </row>
    <row r="37" spans="1:13" x14ac:dyDescent="0.25">
      <c r="A37" t="s">
        <v>54</v>
      </c>
      <c r="B37" t="s">
        <v>125</v>
      </c>
      <c r="C37" s="6">
        <v>1500000</v>
      </c>
      <c r="D37" s="29"/>
      <c r="E37" s="29"/>
      <c r="F37" s="6">
        <f t="shared" si="0"/>
        <v>1500000</v>
      </c>
      <c r="G37" s="6"/>
      <c r="H37" s="6"/>
      <c r="I37" s="6">
        <f t="shared" si="1"/>
        <v>1500000</v>
      </c>
      <c r="J37" s="6"/>
      <c r="K37" s="6"/>
      <c r="L37" s="6">
        <f t="shared" si="2"/>
        <v>1500000</v>
      </c>
      <c r="M37" s="6"/>
    </row>
    <row r="38" spans="1:13" x14ac:dyDescent="0.25">
      <c r="A38" t="s">
        <v>26</v>
      </c>
      <c r="B38" t="s">
        <v>141</v>
      </c>
      <c r="C38" s="7">
        <v>-2309273</v>
      </c>
      <c r="D38" s="29"/>
      <c r="E38" s="29"/>
      <c r="F38" s="7">
        <f>C38+'PROJECTED INCOME STATEMENT'!E17</f>
        <v>-3417326.6225000001</v>
      </c>
      <c r="G38" s="6"/>
      <c r="H38" s="6"/>
      <c r="I38" s="7">
        <f>C38+'PROJECTED INCOME STATEMENT'!G17</f>
        <v>-3398431.6225000001</v>
      </c>
      <c r="J38" s="6"/>
      <c r="K38" s="6"/>
      <c r="L38" s="7">
        <f>C38+'PROJECTED INCOME STATEMENT'!I17</f>
        <v>-3425037.2475000001</v>
      </c>
      <c r="M38" s="6"/>
    </row>
    <row r="39" spans="1:13" x14ac:dyDescent="0.25">
      <c r="A39" t="s">
        <v>142</v>
      </c>
      <c r="C39" s="6"/>
      <c r="D39" s="7">
        <f>SUM(C34:C38)</f>
        <v>599738</v>
      </c>
      <c r="E39" s="29"/>
      <c r="F39" s="6"/>
      <c r="G39" s="7">
        <f>G41-G31</f>
        <v>513154.62533362792</v>
      </c>
      <c r="H39" s="29"/>
      <c r="I39" s="6"/>
      <c r="J39" s="7">
        <f>J41-J31</f>
        <v>395281.16700029466</v>
      </c>
      <c r="K39" s="29"/>
      <c r="L39" s="6"/>
      <c r="M39" s="7">
        <f>M41-M31</f>
        <v>686972.84301046329</v>
      </c>
    </row>
    <row r="40" spans="1:13" x14ac:dyDescent="0.25">
      <c r="C40" s="6"/>
      <c r="D40" s="29"/>
      <c r="E40" s="29"/>
      <c r="F40" s="6"/>
      <c r="G40" s="6"/>
      <c r="H40" s="6"/>
      <c r="I40" s="6"/>
      <c r="J40" s="6"/>
      <c r="K40" s="6"/>
      <c r="L40" s="6"/>
      <c r="M40" s="6"/>
    </row>
    <row r="41" spans="1:13" ht="16.5" thickBot="1" x14ac:dyDescent="0.3">
      <c r="A41" s="3" t="s">
        <v>28</v>
      </c>
      <c r="B41" s="3"/>
      <c r="C41" s="31"/>
      <c r="D41" s="32">
        <f>D31+D39</f>
        <v>1048021</v>
      </c>
      <c r="E41" s="34"/>
      <c r="F41" s="31"/>
      <c r="G41" s="32">
        <f>G22</f>
        <v>1105309.3568667423</v>
      </c>
      <c r="H41" s="34"/>
      <c r="I41" s="31"/>
      <c r="J41" s="32">
        <f>J22</f>
        <v>1021801.2318667423</v>
      </c>
      <c r="K41" s="34"/>
      <c r="L41" s="31"/>
      <c r="M41" s="32">
        <f>M22</f>
        <v>1266240.5745435776</v>
      </c>
    </row>
    <row r="42" spans="1:13" ht="16.5" thickTop="1" x14ac:dyDescent="0.25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x14ac:dyDescent="0.25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25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x14ac:dyDescent="0.25">
      <c r="C45" s="6"/>
    </row>
  </sheetData>
  <mergeCells count="5">
    <mergeCell ref="A1:M1"/>
    <mergeCell ref="C5:D5"/>
    <mergeCell ref="F5:G5"/>
    <mergeCell ref="I5:J5"/>
    <mergeCell ref="L5:M5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5.75" x14ac:dyDescent="0.25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STATEMENT</vt:lpstr>
      <vt:lpstr>BALANCE SHEET</vt:lpstr>
      <vt:lpstr>CASH FLOW STATEMENT</vt:lpstr>
      <vt:lpstr>DIFFERENTIAL</vt:lpstr>
      <vt:lpstr>PROJECTED INCOME STATEMENT</vt:lpstr>
      <vt:lpstr>PROJECTED BALANCE SHEET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Paige Bond</dc:creator>
  <cp:lastModifiedBy>Mohammed Abdo</cp:lastModifiedBy>
  <dcterms:created xsi:type="dcterms:W3CDTF">2013-06-20T15:11:59Z</dcterms:created>
  <dcterms:modified xsi:type="dcterms:W3CDTF">2014-05-08T16:45:27Z</dcterms:modified>
</cp:coreProperties>
</file>
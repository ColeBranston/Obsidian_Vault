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810"/>
  <workbookPr showInkAnnotation="0"/>
  <mc:AlternateContent xmlns:mc="http://schemas.openxmlformats.org/markup-compatibility/2006">
    <mc:Choice Requires="x15">
      <x15ac:absPath xmlns:x15ac="http://schemas.microsoft.com/office/spreadsheetml/2010/11/ac" url="/Users/jacquelineyan/Desktop/CASEBOOK SOLUTIONS/"/>
    </mc:Choice>
  </mc:AlternateContent>
  <bookViews>
    <workbookView xWindow="0" yWindow="460" windowWidth="28800" windowHeight="17460" tabRatio="500"/>
  </bookViews>
  <sheets>
    <sheet name="Sheet1" sheetId="1" r:id="rId1"/>
  </sheets>
  <calcPr calcId="150000" iterate="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30" i="1" l="1"/>
  <c r="D29" i="1"/>
  <c r="D26" i="1"/>
  <c r="D24" i="1"/>
  <c r="D23" i="1"/>
  <c r="D17" i="1"/>
  <c r="D18" i="1"/>
  <c r="D19" i="1"/>
  <c r="D20" i="1"/>
  <c r="D12" i="1"/>
  <c r="D11" i="1"/>
  <c r="C11" i="1"/>
  <c r="C10" i="1"/>
  <c r="C9" i="1"/>
</calcChain>
</file>

<file path=xl/sharedStrings.xml><?xml version="1.0" encoding="utf-8"?>
<sst xmlns="http://schemas.openxmlformats.org/spreadsheetml/2006/main" count="32" uniqueCount="30">
  <si>
    <t xml:space="preserve">Statement of Cash Flows </t>
  </si>
  <si>
    <t>Year-End, December 31, 2012</t>
  </si>
  <si>
    <t xml:space="preserve">Operating Activities </t>
  </si>
  <si>
    <t>Phil's Haulage</t>
  </si>
  <si>
    <t>Net Income</t>
  </si>
  <si>
    <t>Adjustment to Cash Basis:</t>
  </si>
  <si>
    <t>Depreciation</t>
  </si>
  <si>
    <t xml:space="preserve">Gain on Sale </t>
  </si>
  <si>
    <t>A/R</t>
  </si>
  <si>
    <t>Income Tax Payable</t>
  </si>
  <si>
    <t>2011 A/R - 2012 A/R=</t>
  </si>
  <si>
    <t>2011  - 2012 =</t>
  </si>
  <si>
    <t>A/P + Incurred Liabilities</t>
  </si>
  <si>
    <t>Total Cash from Operating Activities</t>
  </si>
  <si>
    <t>Financing Activities</t>
  </si>
  <si>
    <t>Advances to shareholder</t>
  </si>
  <si>
    <t>Bank Indebtedness</t>
  </si>
  <si>
    <t>Shareholder loan</t>
  </si>
  <si>
    <t>Loans Payable</t>
  </si>
  <si>
    <t>C/P of Loans Payable</t>
  </si>
  <si>
    <t>Total Cash from Financing Activities</t>
  </si>
  <si>
    <t>Investing Activities</t>
  </si>
  <si>
    <t>Capital Assets</t>
  </si>
  <si>
    <t>New+Old+Dep+G/L</t>
  </si>
  <si>
    <t>2193379+(1924822+724718-149050)</t>
  </si>
  <si>
    <t>Total Investing Activities</t>
  </si>
  <si>
    <t>Total Cash Flow</t>
  </si>
  <si>
    <t>Beginning Cash Flow</t>
  </si>
  <si>
    <t>Net Cash Flow</t>
  </si>
  <si>
    <t>Ending Cash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</si>
</sst>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&quot;$&quot;* #,##0.00_-;\-&quot;$&quot;* #,##0.00_-;_-&quot;$&quot;* &quot;-&quot;??_-;_-@_-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 val="singleAccounting"/>
      <sz val="12"/>
      <color theme="1"/>
      <name val="Calibri"/>
      <family val="2"/>
      <scheme val="minor"/>
    </font>
    <font>
      <b/>
      <i/>
      <sz val="12"/>
      <color theme="1"/>
      <name val="Calibri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14">
    <xf numFmtId="0" fontId="0" fillId="0" borderId="0" xfId="0"/>
    <xf numFmtId="164" fontId="0" fillId="0" borderId="0" xfId="1" applyFont="1"/>
    <xf numFmtId="164" fontId="4" fillId="0" borderId="0" xfId="1" applyFont="1"/>
    <xf numFmtId="164" fontId="2" fillId="0" borderId="0" xfId="0" applyNumberFormat="1" applyFont="1"/>
    <xf numFmtId="164" fontId="3" fillId="0" borderId="0" xfId="1" applyNumberFormat="1" applyFont="1"/>
    <xf numFmtId="164" fontId="0" fillId="0" borderId="0" xfId="1" applyNumberFormat="1" applyFont="1"/>
    <xf numFmtId="164" fontId="0" fillId="0" borderId="0" xfId="0" applyNumberFormat="1"/>
    <xf numFmtId="164" fontId="5" fillId="0" borderId="0" xfId="0" applyNumberFormat="1" applyFont="1"/>
    <xf numFmtId="164" fontId="4" fillId="0" borderId="0" xfId="1" applyNumberFormat="1" applyFont="1"/>
    <xf numFmtId="164" fontId="0" fillId="0" borderId="0" xfId="0" applyNumberFormat="1" applyFont="1"/>
    <xf numFmtId="164" fontId="6" fillId="0" borderId="0" xfId="0" applyNumberFormat="1" applyFont="1"/>
    <xf numFmtId="0" fontId="3" fillId="0" borderId="0" xfId="0" applyFont="1"/>
    <xf numFmtId="164" fontId="4" fillId="0" borderId="1" xfId="1" applyNumberFormat="1" applyFont="1" applyBorder="1"/>
    <xf numFmtId="164" fontId="0" fillId="0" borderId="0" xfId="0" applyNumberFormat="1" applyAlignment="1">
      <alignment horizontal="center"/>
    </xf>
  </cellXfs>
  <cellStyles count="4">
    <cellStyle name="Currency" xfId="1" builtinId="4"/>
    <cellStyle name="Followed Hyperlink" xfId="3" builtinId="9" hidden="1"/>
    <cellStyle name="Hyperlink" xfId="2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abSelected="1" workbookViewId="0">
      <selection activeCell="G11" sqref="G11"/>
    </sheetView>
  </sheetViews>
  <sheetFormatPr baseColWidth="10" defaultRowHeight="16" x14ac:dyDescent="0.2"/>
  <cols>
    <col min="1" max="1" width="22.1640625" style="6" customWidth="1"/>
    <col min="2" max="2" width="21.83203125" style="4" customWidth="1"/>
    <col min="3" max="4" width="13.5" style="5" bestFit="1" customWidth="1"/>
    <col min="5" max="16384" width="10.83203125" style="6"/>
  </cols>
  <sheetData>
    <row r="1" spans="1:4" x14ac:dyDescent="0.2">
      <c r="A1" s="13" t="s">
        <v>3</v>
      </c>
      <c r="B1" s="13"/>
      <c r="C1" s="13"/>
      <c r="D1" s="13"/>
    </row>
    <row r="2" spans="1:4" x14ac:dyDescent="0.2">
      <c r="A2" s="13" t="s">
        <v>0</v>
      </c>
      <c r="B2" s="13"/>
      <c r="C2" s="13"/>
      <c r="D2" s="13"/>
    </row>
    <row r="3" spans="1:4" x14ac:dyDescent="0.2">
      <c r="A3" s="13" t="s">
        <v>1</v>
      </c>
      <c r="B3" s="13"/>
      <c r="C3" s="13"/>
      <c r="D3" s="13"/>
    </row>
    <row r="4" spans="1:4" x14ac:dyDescent="0.2">
      <c r="A4" s="3" t="s">
        <v>2</v>
      </c>
    </row>
    <row r="5" spans="1:4" x14ac:dyDescent="0.2">
      <c r="A5" s="6" t="s">
        <v>4</v>
      </c>
      <c r="D5" s="5">
        <v>595954</v>
      </c>
    </row>
    <row r="6" spans="1:4" x14ac:dyDescent="0.2">
      <c r="A6" s="7" t="s">
        <v>5</v>
      </c>
    </row>
    <row r="7" spans="1:4" x14ac:dyDescent="0.2">
      <c r="A7" s="6" t="s">
        <v>6</v>
      </c>
      <c r="C7" s="5">
        <v>724718</v>
      </c>
    </row>
    <row r="8" spans="1:4" x14ac:dyDescent="0.2">
      <c r="A8" s="6" t="s">
        <v>7</v>
      </c>
      <c r="C8" s="5">
        <v>-149050</v>
      </c>
    </row>
    <row r="9" spans="1:4" x14ac:dyDescent="0.2">
      <c r="A9" s="6" t="s">
        <v>8</v>
      </c>
      <c r="B9" s="4" t="s">
        <v>10</v>
      </c>
      <c r="C9" s="5">
        <f>975932-1381497</f>
        <v>-405565</v>
      </c>
    </row>
    <row r="10" spans="1:4" x14ac:dyDescent="0.2">
      <c r="A10" s="6" t="s">
        <v>9</v>
      </c>
      <c r="B10" s="4" t="s">
        <v>11</v>
      </c>
      <c r="C10" s="5">
        <f>62525-1917</f>
        <v>60608</v>
      </c>
    </row>
    <row r="11" spans="1:4" ht="19" x14ac:dyDescent="0.35">
      <c r="A11" s="6" t="s">
        <v>12</v>
      </c>
      <c r="B11" s="4" t="s">
        <v>11</v>
      </c>
      <c r="C11" s="8">
        <f>316386-734674</f>
        <v>-418288</v>
      </c>
      <c r="D11" s="8">
        <f>SUM(C7:C11)</f>
        <v>-187577</v>
      </c>
    </row>
    <row r="12" spans="1:4" x14ac:dyDescent="0.2">
      <c r="A12" s="7" t="s">
        <v>13</v>
      </c>
      <c r="D12" s="5">
        <f>D5+D11</f>
        <v>408377</v>
      </c>
    </row>
    <row r="14" spans="1:4" x14ac:dyDescent="0.2">
      <c r="A14" s="3" t="s">
        <v>14</v>
      </c>
    </row>
    <row r="15" spans="1:4" x14ac:dyDescent="0.2">
      <c r="A15" s="9" t="s">
        <v>15</v>
      </c>
      <c r="D15" s="5">
        <v>-216004</v>
      </c>
    </row>
    <row r="16" spans="1:4" x14ac:dyDescent="0.2">
      <c r="A16" s="10" t="s">
        <v>16</v>
      </c>
      <c r="D16" s="10">
        <v>9086</v>
      </c>
    </row>
    <row r="17" spans="1:4" x14ac:dyDescent="0.2">
      <c r="A17" s="9" t="s">
        <v>19</v>
      </c>
      <c r="B17" s="4" t="s">
        <v>11</v>
      </c>
      <c r="D17" s="5">
        <f>526885-414291</f>
        <v>112594</v>
      </c>
    </row>
    <row r="18" spans="1:4" x14ac:dyDescent="0.2">
      <c r="A18" s="9" t="s">
        <v>17</v>
      </c>
      <c r="D18" s="5">
        <f>-52343</f>
        <v>-52343</v>
      </c>
    </row>
    <row r="19" spans="1:4" ht="19" x14ac:dyDescent="0.35">
      <c r="A19" s="9" t="s">
        <v>18</v>
      </c>
      <c r="D19" s="8">
        <f>507012-575981</f>
        <v>-68969</v>
      </c>
    </row>
    <row r="20" spans="1:4" x14ac:dyDescent="0.2">
      <c r="A20" s="3" t="s">
        <v>20</v>
      </c>
      <c r="D20" s="5">
        <f>SUM(D15:D19)</f>
        <v>-215636</v>
      </c>
    </row>
    <row r="22" spans="1:4" x14ac:dyDescent="0.2">
      <c r="A22" s="3" t="s">
        <v>21</v>
      </c>
    </row>
    <row r="23" spans="1:4" ht="19" x14ac:dyDescent="0.35">
      <c r="A23" s="6" t="s">
        <v>22</v>
      </c>
      <c r="B23" s="4" t="s">
        <v>24</v>
      </c>
      <c r="C23" s="11" t="s">
        <v>23</v>
      </c>
      <c r="D23" s="2">
        <f>(2193379-(1924822-724718+149050))</f>
        <v>844225</v>
      </c>
    </row>
    <row r="24" spans="1:4" x14ac:dyDescent="0.2">
      <c r="A24" s="3" t="s">
        <v>25</v>
      </c>
      <c r="D24" s="5">
        <f>-D23</f>
        <v>-844225</v>
      </c>
    </row>
    <row r="26" spans="1:4" x14ac:dyDescent="0.2">
      <c r="A26" s="3" t="s">
        <v>26</v>
      </c>
      <c r="D26" s="5">
        <f>D12+D20+D24</f>
        <v>-651484</v>
      </c>
    </row>
    <row r="28" spans="1:4" x14ac:dyDescent="0.2">
      <c r="A28" s="3" t="s">
        <v>27</v>
      </c>
      <c r="D28" s="1">
        <v>651484</v>
      </c>
    </row>
    <row r="29" spans="1:4" ht="19" x14ac:dyDescent="0.35">
      <c r="A29" s="3" t="s">
        <v>28</v>
      </c>
      <c r="D29" s="8">
        <f>D26</f>
        <v>-651484</v>
      </c>
    </row>
    <row r="30" spans="1:4" ht="19" x14ac:dyDescent="0.35">
      <c r="A30" s="3" t="s">
        <v>29</v>
      </c>
      <c r="D30" s="12">
        <f>D28+D29</f>
        <v>0</v>
      </c>
    </row>
  </sheetData>
  <mergeCells count="3">
    <mergeCell ref="A2:D2"/>
    <mergeCell ref="A3:D3"/>
    <mergeCell ref="A1:D1"/>
  </mergeCells>
  <phoneticPr fontId="9" type="noConversion"/>
  <pageMargins left="0.7" right="0.7" top="0.75" bottom="0.75" header="0.3" footer="0.3"/>
  <pageSetup orientation="portrait" horizontalDpi="0" verticalDpi="0"/>
  <colBreaks count="1" manualBreakCount="1">
    <brk id="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2017-03-16T07:16:53Z</cp:lastPrinted>
  <dcterms:created xsi:type="dcterms:W3CDTF">2017-03-16T06:16:23Z</dcterms:created>
  <dcterms:modified xsi:type="dcterms:W3CDTF">2018-03-21T15:44:52Z</dcterms:modified>
</cp:coreProperties>
</file>
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12882BD1-F8C3-514B-96AE-842B33D8777E}" xr6:coauthVersionLast="45" xr6:coauthVersionMax="45" xr10:uidLastSave="{00000000-0000-0000-0000-000000000000}"/>
  <bookViews>
    <workbookView xWindow="-11440" yWindow="-20100" windowWidth="25280" windowHeight="162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5" i="1" l="1"/>
  <c r="H26" i="1" s="1"/>
  <c r="E46" i="1" s="1"/>
  <c r="F47" i="1" s="1"/>
  <c r="H6" i="1"/>
  <c r="E40" i="1"/>
  <c r="F41" i="1"/>
  <c r="F29" i="1"/>
  <c r="F25" i="1"/>
  <c r="F10" i="1"/>
  <c r="B10" i="1"/>
  <c r="E4" i="1"/>
  <c r="F5" i="1" s="1"/>
  <c r="E15" i="1" l="1"/>
  <c r="F16" i="1" s="1"/>
  <c r="E20" i="1" s="1"/>
  <c r="F21" i="1" s="1"/>
  <c r="H8" i="1"/>
  <c r="H9" i="1"/>
  <c r="H10" i="1" l="1"/>
  <c r="E50" i="1" s="1"/>
  <c r="F51" i="1" s="1"/>
</calcChain>
</file>

<file path=xl/sharedStrings.xml><?xml version="1.0" encoding="utf-8"?>
<sst xmlns="http://schemas.openxmlformats.org/spreadsheetml/2006/main" count="65" uniqueCount="55">
  <si>
    <t>SPEEDY COURIERS</t>
  </si>
  <si>
    <t># OF COMMON SHARES</t>
  </si>
  <si>
    <t>Dr Cash</t>
  </si>
  <si>
    <t>Cr Common Shares</t>
  </si>
  <si>
    <t>6,000*$25=150,000</t>
  </si>
  <si>
    <t>Apr. 1</t>
  </si>
  <si>
    <t>Dr Vans</t>
  </si>
  <si>
    <t>Cr Cash</t>
  </si>
  <si>
    <t>60,000-49,600=10,400</t>
  </si>
  <si>
    <t>Apr. 15</t>
  </si>
  <si>
    <t>T/B</t>
  </si>
  <si>
    <t>Dr Retained Earnings</t>
  </si>
  <si>
    <t>6,400 shares * $0.20 = 1,920</t>
  </si>
  <si>
    <t>Dr Dividends Payable</t>
  </si>
  <si>
    <t>Dr Building</t>
  </si>
  <si>
    <t>Cr Preferred Shares</t>
  </si>
  <si>
    <t># OF PREFERRED SHARES</t>
  </si>
  <si>
    <t>SEPT. 1</t>
  </si>
  <si>
    <t>Dr Deposit on Machinery</t>
  </si>
  <si>
    <t>MARCH 15/01</t>
  </si>
  <si>
    <t>Dr Preferred Shares</t>
  </si>
  <si>
    <t>100,000*40%=40,000</t>
  </si>
  <si>
    <t>Mar. 15</t>
  </si>
  <si>
    <t>***Remember to Update # of shares</t>
  </si>
  <si>
    <t>MARCH 31/01</t>
  </si>
  <si>
    <t>Cr Stock Dividends to be Distributed</t>
  </si>
  <si>
    <t>Cr Preferred Dividends Payable</t>
  </si>
  <si>
    <t>Cr Common Dividends Payable</t>
  </si>
  <si>
    <t>DECEMBER 14/14</t>
  </si>
  <si>
    <t>SEPTEMBER 01/14</t>
  </si>
  <si>
    <t>NOVEMBER. /14</t>
  </si>
  <si>
    <t>APRIL 1/14</t>
  </si>
  <si>
    <t>APRIL 15/14</t>
  </si>
  <si>
    <t>JULY 31/14</t>
  </si>
  <si>
    <t>AUGUST 10/14</t>
  </si>
  <si>
    <t>Dr Common Stock</t>
  </si>
  <si>
    <t>Cr Contributed Capital</t>
  </si>
  <si>
    <t>($160,400/6400 shares)*200 shares = $5,013</t>
  </si>
  <si>
    <t>200 shares*$23 = $4,600</t>
  </si>
  <si>
    <t>$5,013-$4,600 = $413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</si>
  <si>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</si>
  <si>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</si>
  <si>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</si>
  <si>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</si>
  <si>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</si>
  <si>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</si>
  <si>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</si>
  <si>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</si>
  <si>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</si>
  <si>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</si>
  <si>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Dec. 14</t>
  </si>
  <si>
    <t>7,800 shares*5% = 390 shares</t>
  </si>
  <si>
    <t>390 shares*$31 =  $12,090</t>
  </si>
  <si>
    <t>$5*600 Shares = $3,000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</si>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</sst>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3" xfId="1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NumberFormat="1" applyAlignment="1">
      <alignment horizontal="left"/>
    </xf>
    <xf numFmtId="0" fontId="0" fillId="0" borderId="7" xfId="0" applyBorder="1"/>
    <xf numFmtId="164" fontId="0" fillId="0" borderId="8" xfId="0" applyNumberFormat="1" applyBorder="1"/>
    <xf numFmtId="164" fontId="0" fillId="0" borderId="5" xfId="1" applyNumberFormat="1" applyFont="1" applyFill="1" applyBorder="1"/>
    <xf numFmtId="0" fontId="0" fillId="0" borderId="3" xfId="0" applyBorder="1" applyAlignment="1">
      <alignment horizontal="right"/>
    </xf>
    <xf numFmtId="164" fontId="0" fillId="0" borderId="6" xfId="1" applyNumberFormat="1" applyFont="1" applyBorder="1" applyAlignment="1">
      <alignment horizontal="right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showWhiteSpace="0" view="pageLayout" workbookViewId="0">
      <selection activeCell="H17" sqref="H17"/>
    </sheetView>
  </sheetViews>
  <sheetFormatPr baseColWidth="10" defaultColWidth="11" defaultRowHeight="16" x14ac:dyDescent="0.2"/>
  <cols>
    <col min="1" max="1" width="3.6640625" customWidth="1"/>
    <col min="4" max="4" width="11" customWidth="1"/>
    <col min="5" max="6" width="11.5" bestFit="1" customWidth="1"/>
  </cols>
  <sheetData>
    <row r="1" spans="1:8" ht="27" thickBot="1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2">
      <c r="B2" s="11"/>
      <c r="C2" s="11"/>
      <c r="D2" s="11"/>
    </row>
    <row r="3" spans="1:8" x14ac:dyDescent="0.2">
      <c r="B3" s="8" t="s">
        <v>31</v>
      </c>
      <c r="C3" s="8"/>
      <c r="D3" s="8"/>
      <c r="G3" s="9" t="s">
        <v>1</v>
      </c>
      <c r="H3" s="9"/>
    </row>
    <row r="4" spans="1:8" x14ac:dyDescent="0.2">
      <c r="A4" t="s">
        <v>40</v>
      </c>
      <c r="B4" s="8" t="s">
        <v>2</v>
      </c>
      <c r="C4" s="8"/>
      <c r="D4" s="8"/>
      <c r="E4" s="1">
        <f>6000*25</f>
        <v>150000</v>
      </c>
      <c r="F4" s="1"/>
      <c r="G4" s="2" t="s">
        <v>5</v>
      </c>
      <c r="H4" s="1">
        <v>6000</v>
      </c>
    </row>
    <row r="5" spans="1:8" x14ac:dyDescent="0.2">
      <c r="B5" s="10" t="s">
        <v>3</v>
      </c>
      <c r="C5" s="10"/>
      <c r="D5" s="10"/>
      <c r="E5" s="1"/>
      <c r="F5" s="1">
        <f>E4</f>
        <v>150000</v>
      </c>
      <c r="G5" s="4" t="s">
        <v>9</v>
      </c>
      <c r="H5" s="5">
        <v>400</v>
      </c>
    </row>
    <row r="6" spans="1:8" x14ac:dyDescent="0.2">
      <c r="B6" s="8" t="s">
        <v>4</v>
      </c>
      <c r="C6" s="8"/>
      <c r="D6" s="8"/>
      <c r="E6" s="1"/>
      <c r="F6" s="1"/>
      <c r="G6" s="3" t="s">
        <v>10</v>
      </c>
      <c r="H6" s="1">
        <f>H4+H5</f>
        <v>6400</v>
      </c>
    </row>
    <row r="7" spans="1:8" x14ac:dyDescent="0.2">
      <c r="B7" s="8"/>
      <c r="C7" s="8"/>
      <c r="D7" s="8"/>
      <c r="E7" s="1"/>
      <c r="F7" s="1"/>
      <c r="G7" s="18">
        <v>200</v>
      </c>
      <c r="H7" s="15" t="s">
        <v>50</v>
      </c>
    </row>
    <row r="8" spans="1:8" x14ac:dyDescent="0.2">
      <c r="B8" s="8" t="s">
        <v>32</v>
      </c>
      <c r="C8" s="8"/>
      <c r="D8" s="8"/>
      <c r="E8" s="1"/>
      <c r="F8" s="1"/>
      <c r="G8" s="17" t="s">
        <v>10</v>
      </c>
      <c r="H8" s="16">
        <f>H6-G7</f>
        <v>6200</v>
      </c>
    </row>
    <row r="9" spans="1:8" x14ac:dyDescent="0.2">
      <c r="A9" t="s">
        <v>41</v>
      </c>
      <c r="B9" s="8" t="s">
        <v>6</v>
      </c>
      <c r="C9" s="8"/>
      <c r="D9" s="8"/>
      <c r="E9" s="1">
        <v>60000</v>
      </c>
      <c r="F9" s="1"/>
      <c r="G9" s="4" t="s">
        <v>22</v>
      </c>
      <c r="H9" s="5">
        <f>G25*4</f>
        <v>1600</v>
      </c>
    </row>
    <row r="10" spans="1:8" x14ac:dyDescent="0.2">
      <c r="B10" s="10" t="str">
        <f>B5</f>
        <v>Cr Common Shares</v>
      </c>
      <c r="C10" s="10"/>
      <c r="D10" s="10"/>
      <c r="E10" s="1"/>
      <c r="F10" s="1">
        <f>E9-F11</f>
        <v>10400</v>
      </c>
      <c r="G10" s="3" t="s">
        <v>10</v>
      </c>
      <c r="H10" s="1">
        <f>H8+H9</f>
        <v>7800</v>
      </c>
    </row>
    <row r="11" spans="1:8" x14ac:dyDescent="0.2">
      <c r="B11" s="10" t="s">
        <v>7</v>
      </c>
      <c r="C11" s="10"/>
      <c r="D11" s="10"/>
      <c r="E11" s="1"/>
      <c r="F11" s="1">
        <v>49600</v>
      </c>
      <c r="G11" s="3"/>
      <c r="H11" s="1"/>
    </row>
    <row r="12" spans="1:8" x14ac:dyDescent="0.2">
      <c r="B12" s="8" t="s">
        <v>8</v>
      </c>
      <c r="C12" s="8"/>
      <c r="D12" s="8"/>
      <c r="E12" s="1"/>
      <c r="F12" s="1"/>
      <c r="G12" s="3"/>
      <c r="H12" s="1"/>
    </row>
    <row r="13" spans="1:8" x14ac:dyDescent="0.2">
      <c r="B13" s="8"/>
      <c r="C13" s="8"/>
      <c r="D13" s="8"/>
      <c r="E13" s="1"/>
      <c r="F13" s="1"/>
      <c r="G13" s="1"/>
      <c r="H13" s="1"/>
    </row>
    <row r="14" spans="1:8" x14ac:dyDescent="0.2">
      <c r="B14" s="8" t="s">
        <v>33</v>
      </c>
      <c r="C14" s="8"/>
      <c r="D14" s="8"/>
      <c r="E14" s="1"/>
      <c r="F14" s="1"/>
      <c r="G14" s="1"/>
      <c r="H14" s="1"/>
    </row>
    <row r="15" spans="1:8" x14ac:dyDescent="0.2">
      <c r="A15" t="s">
        <v>42</v>
      </c>
      <c r="B15" s="8" t="s">
        <v>11</v>
      </c>
      <c r="C15" s="8"/>
      <c r="D15" s="8"/>
      <c r="E15" s="1">
        <f>H6*0.2</f>
        <v>1280</v>
      </c>
      <c r="F15" s="1"/>
      <c r="G15" s="1"/>
      <c r="H15" s="1"/>
    </row>
    <row r="16" spans="1:8" x14ac:dyDescent="0.2">
      <c r="B16" s="10" t="s">
        <v>27</v>
      </c>
      <c r="C16" s="10"/>
      <c r="D16" s="10"/>
      <c r="E16" s="1"/>
      <c r="F16" s="1">
        <f>E15</f>
        <v>1280</v>
      </c>
      <c r="G16" s="1"/>
      <c r="H16" s="1"/>
    </row>
    <row r="17" spans="1:8" x14ac:dyDescent="0.2">
      <c r="B17" s="8" t="s">
        <v>12</v>
      </c>
      <c r="C17" s="8"/>
      <c r="D17" s="8"/>
      <c r="E17" s="1"/>
      <c r="F17" s="1"/>
      <c r="G17" s="1"/>
      <c r="H17" s="1" t="s">
        <v>54</v>
      </c>
    </row>
    <row r="18" spans="1:8" x14ac:dyDescent="0.2">
      <c r="B18" s="8"/>
      <c r="C18" s="8"/>
      <c r="D18" s="8"/>
      <c r="E18" s="1"/>
      <c r="F18" s="1"/>
      <c r="G18" s="1"/>
      <c r="H18" s="1"/>
    </row>
    <row r="19" spans="1:8" x14ac:dyDescent="0.2">
      <c r="B19" s="8" t="s">
        <v>34</v>
      </c>
      <c r="C19" s="8"/>
      <c r="D19" s="8"/>
      <c r="E19" s="1"/>
      <c r="F19" s="1"/>
      <c r="G19" s="1"/>
      <c r="H19" s="1"/>
    </row>
    <row r="20" spans="1:8" x14ac:dyDescent="0.2">
      <c r="A20" t="s">
        <v>43</v>
      </c>
      <c r="B20" s="8" t="s">
        <v>13</v>
      </c>
      <c r="C20" s="8"/>
      <c r="D20" s="8"/>
      <c r="E20" s="1">
        <f>F16</f>
        <v>1280</v>
      </c>
      <c r="F20" s="1"/>
      <c r="G20" s="1"/>
      <c r="H20" s="1"/>
    </row>
    <row r="21" spans="1:8" x14ac:dyDescent="0.2">
      <c r="B21" s="10" t="s">
        <v>7</v>
      </c>
      <c r="C21" s="10"/>
      <c r="D21" s="10"/>
      <c r="E21" s="1"/>
      <c r="F21" s="1">
        <f>E20</f>
        <v>1280</v>
      </c>
      <c r="G21" s="1"/>
      <c r="H21" s="1"/>
    </row>
    <row r="22" spans="1:8" x14ac:dyDescent="0.2">
      <c r="B22" s="8"/>
      <c r="C22" s="8"/>
      <c r="D22" s="8"/>
      <c r="E22" s="1"/>
      <c r="F22" s="1"/>
      <c r="G22" s="1"/>
      <c r="H22" s="1"/>
    </row>
    <row r="23" spans="1:8" x14ac:dyDescent="0.2">
      <c r="B23" s="8" t="s">
        <v>29</v>
      </c>
      <c r="C23" s="8"/>
      <c r="D23" s="8"/>
      <c r="E23" s="1"/>
      <c r="F23" s="1"/>
      <c r="G23" s="9" t="s">
        <v>16</v>
      </c>
      <c r="H23" s="9"/>
    </row>
    <row r="24" spans="1:8" x14ac:dyDescent="0.2">
      <c r="A24" t="s">
        <v>44</v>
      </c>
      <c r="B24" s="8" t="s">
        <v>14</v>
      </c>
      <c r="C24" s="8"/>
      <c r="D24" s="8"/>
      <c r="E24" s="1">
        <v>100000</v>
      </c>
      <c r="F24" s="1"/>
      <c r="G24" s="2" t="s">
        <v>17</v>
      </c>
      <c r="H24" s="1">
        <v>1000</v>
      </c>
    </row>
    <row r="25" spans="1:8" x14ac:dyDescent="0.2">
      <c r="B25" s="10" t="s">
        <v>15</v>
      </c>
      <c r="C25" s="10"/>
      <c r="D25" s="10"/>
      <c r="E25" s="1"/>
      <c r="F25" s="1">
        <f>E24</f>
        <v>100000</v>
      </c>
      <c r="G25" s="19">
        <f>H24*0.4</f>
        <v>400</v>
      </c>
      <c r="H25" s="5" t="s">
        <v>22</v>
      </c>
    </row>
    <row r="26" spans="1:8" x14ac:dyDescent="0.2">
      <c r="B26" s="8"/>
      <c r="C26" s="8"/>
      <c r="D26" s="8"/>
      <c r="E26" s="1"/>
      <c r="F26" s="1"/>
      <c r="G26" s="3" t="s">
        <v>10</v>
      </c>
      <c r="H26" s="1">
        <f>H24-G25</f>
        <v>600</v>
      </c>
    </row>
    <row r="27" spans="1:8" x14ac:dyDescent="0.2">
      <c r="B27" s="14" t="s">
        <v>30</v>
      </c>
      <c r="C27" s="14"/>
      <c r="D27" s="14"/>
      <c r="E27" s="1"/>
      <c r="F27" s="1"/>
      <c r="G27" s="3"/>
      <c r="H27" s="1"/>
    </row>
    <row r="28" spans="1:8" x14ac:dyDescent="0.2">
      <c r="A28" t="s">
        <v>45</v>
      </c>
      <c r="B28" s="8" t="s">
        <v>18</v>
      </c>
      <c r="C28" s="8"/>
      <c r="D28" s="8"/>
      <c r="E28" s="1">
        <v>15000</v>
      </c>
      <c r="F28" s="1"/>
      <c r="G28" s="3"/>
      <c r="H28" s="1"/>
    </row>
    <row r="29" spans="1:8" x14ac:dyDescent="0.2">
      <c r="B29" s="10" t="s">
        <v>7</v>
      </c>
      <c r="C29" s="10"/>
      <c r="D29" s="10"/>
      <c r="E29" s="1"/>
      <c r="F29" s="1">
        <f>E28</f>
        <v>15000</v>
      </c>
      <c r="G29" s="3"/>
      <c r="H29" s="1"/>
    </row>
    <row r="30" spans="1:8" x14ac:dyDescent="0.2">
      <c r="B30" s="13"/>
      <c r="C30" s="13"/>
      <c r="D30" s="13"/>
      <c r="E30" s="1"/>
      <c r="F30" s="1"/>
      <c r="G30" s="3"/>
      <c r="H30" s="1"/>
    </row>
    <row r="31" spans="1:8" x14ac:dyDescent="0.2">
      <c r="B31" s="8" t="s">
        <v>28</v>
      </c>
      <c r="C31" s="8"/>
      <c r="D31" s="8"/>
      <c r="G31" s="1"/>
      <c r="H31" s="1"/>
    </row>
    <row r="32" spans="1:8" x14ac:dyDescent="0.2">
      <c r="A32" t="s">
        <v>46</v>
      </c>
      <c r="B32" s="8" t="s">
        <v>35</v>
      </c>
      <c r="C32" s="8"/>
      <c r="D32" s="8"/>
      <c r="E32" s="1">
        <v>5013</v>
      </c>
      <c r="F32" s="1"/>
      <c r="G32" s="1"/>
      <c r="H32" s="1"/>
    </row>
    <row r="33" spans="1:8" x14ac:dyDescent="0.2">
      <c r="B33" s="10" t="s">
        <v>36</v>
      </c>
      <c r="C33" s="10"/>
      <c r="D33" s="10"/>
      <c r="E33" s="1"/>
      <c r="F33" s="1">
        <v>413</v>
      </c>
      <c r="G33" s="1"/>
      <c r="H33" s="1"/>
    </row>
    <row r="34" spans="1:8" x14ac:dyDescent="0.2">
      <c r="B34" s="10" t="s">
        <v>7</v>
      </c>
      <c r="C34" s="10"/>
      <c r="D34" s="10"/>
      <c r="E34" s="1"/>
      <c r="F34" s="1">
        <v>4600</v>
      </c>
      <c r="G34" s="1"/>
      <c r="H34" s="1"/>
    </row>
    <row r="35" spans="1:8" x14ac:dyDescent="0.2">
      <c r="B35" t="s">
        <v>37</v>
      </c>
      <c r="E35" s="1"/>
      <c r="F35" s="1"/>
      <c r="G35" s="1"/>
      <c r="H35" s="1"/>
    </row>
    <row r="36" spans="1:8" x14ac:dyDescent="0.2">
      <c r="B36" t="s">
        <v>38</v>
      </c>
      <c r="G36" s="1"/>
      <c r="H36" s="1"/>
    </row>
    <row r="37" spans="1:8" x14ac:dyDescent="0.2">
      <c r="B37" t="s">
        <v>39</v>
      </c>
      <c r="G37" s="1"/>
      <c r="H37" s="1"/>
    </row>
    <row r="38" spans="1:8" x14ac:dyDescent="0.2">
      <c r="G38" s="1"/>
      <c r="H38" s="1"/>
    </row>
    <row r="39" spans="1:8" x14ac:dyDescent="0.2">
      <c r="B39" s="8" t="s">
        <v>19</v>
      </c>
      <c r="C39" s="8"/>
      <c r="D39" s="8"/>
      <c r="E39" s="1"/>
      <c r="F39" s="1"/>
      <c r="G39" s="1"/>
      <c r="H39" s="1"/>
    </row>
    <row r="40" spans="1:8" x14ac:dyDescent="0.2">
      <c r="A40" t="s">
        <v>47</v>
      </c>
      <c r="B40" s="8" t="s">
        <v>20</v>
      </c>
      <c r="C40" s="8"/>
      <c r="D40" s="8"/>
      <c r="E40" s="1">
        <f>100000*0.4</f>
        <v>40000</v>
      </c>
      <c r="F40" s="1"/>
      <c r="G40" s="1"/>
      <c r="H40" s="1"/>
    </row>
    <row r="41" spans="1:8" x14ac:dyDescent="0.2">
      <c r="B41" s="10" t="s">
        <v>3</v>
      </c>
      <c r="C41" s="10"/>
      <c r="D41" s="10"/>
      <c r="E41" s="1"/>
      <c r="F41" s="1">
        <f>E40</f>
        <v>40000</v>
      </c>
      <c r="G41" s="1"/>
      <c r="H41" s="1"/>
    </row>
    <row r="42" spans="1:8" x14ac:dyDescent="0.2">
      <c r="B42" s="6" t="s">
        <v>21</v>
      </c>
      <c r="C42" s="6"/>
      <c r="D42" s="6"/>
      <c r="E42" s="1"/>
      <c r="F42" s="1"/>
      <c r="G42" s="1"/>
      <c r="H42" s="1"/>
    </row>
    <row r="43" spans="1:8" x14ac:dyDescent="0.2">
      <c r="B43" s="6" t="s">
        <v>23</v>
      </c>
      <c r="C43" s="6"/>
      <c r="D43" s="6"/>
      <c r="E43" s="1"/>
      <c r="F43" s="1"/>
      <c r="G43" s="1"/>
      <c r="H43" s="1"/>
    </row>
    <row r="44" spans="1:8" x14ac:dyDescent="0.2">
      <c r="B44" s="6"/>
      <c r="C44" s="6"/>
      <c r="D44" s="6"/>
      <c r="E44" s="1"/>
      <c r="F44" s="1"/>
      <c r="G44" s="1"/>
      <c r="H44" s="1"/>
    </row>
    <row r="45" spans="1:8" x14ac:dyDescent="0.2">
      <c r="B45" s="6" t="s">
        <v>24</v>
      </c>
      <c r="C45" s="6"/>
      <c r="D45" s="6"/>
      <c r="E45" s="1"/>
      <c r="F45" s="1"/>
      <c r="G45" s="1"/>
      <c r="H45" s="1"/>
    </row>
    <row r="46" spans="1:8" x14ac:dyDescent="0.2">
      <c r="A46" t="s">
        <v>48</v>
      </c>
      <c r="B46" s="6" t="s">
        <v>11</v>
      </c>
      <c r="C46" s="6"/>
      <c r="D46" s="6"/>
      <c r="E46" s="1">
        <f>H26*5</f>
        <v>3000</v>
      </c>
      <c r="F46" s="1"/>
      <c r="G46" s="1"/>
      <c r="H46" s="1"/>
    </row>
    <row r="47" spans="1:8" x14ac:dyDescent="0.2">
      <c r="B47" s="7" t="s">
        <v>26</v>
      </c>
      <c r="C47" s="7"/>
      <c r="D47" s="7"/>
      <c r="E47" s="1"/>
      <c r="F47" s="1">
        <f>E46</f>
        <v>3000</v>
      </c>
      <c r="G47" s="1"/>
      <c r="H47" s="1"/>
    </row>
    <row r="48" spans="1:8" x14ac:dyDescent="0.2">
      <c r="B48" s="6" t="s">
        <v>53</v>
      </c>
      <c r="C48" s="6"/>
      <c r="D48" s="6"/>
      <c r="E48" s="1"/>
      <c r="F48" s="1"/>
      <c r="G48" s="1"/>
      <c r="H48" s="1"/>
    </row>
    <row r="49" spans="1:8" x14ac:dyDescent="0.2">
      <c r="B49" s="6"/>
      <c r="C49" s="6"/>
      <c r="D49" s="6"/>
      <c r="E49" s="1"/>
      <c r="F49" s="1"/>
      <c r="G49" s="1"/>
      <c r="H49" s="1"/>
    </row>
    <row r="50" spans="1:8" x14ac:dyDescent="0.2">
      <c r="A50" t="s">
        <v>49</v>
      </c>
      <c r="B50" s="6" t="s">
        <v>11</v>
      </c>
      <c r="C50" s="6"/>
      <c r="D50" s="6"/>
      <c r="E50" s="1">
        <f>H10*5%*31</f>
        <v>12090</v>
      </c>
      <c r="F50" s="1"/>
      <c r="G50" s="1"/>
      <c r="H50" s="1"/>
    </row>
    <row r="51" spans="1:8" x14ac:dyDescent="0.2">
      <c r="B51" s="7" t="s">
        <v>25</v>
      </c>
      <c r="C51" s="7"/>
      <c r="D51" s="7"/>
      <c r="E51" s="1"/>
      <c r="F51" s="1">
        <f>E50</f>
        <v>12090</v>
      </c>
      <c r="G51" s="1"/>
      <c r="H51" s="1"/>
    </row>
    <row r="52" spans="1:8" x14ac:dyDescent="0.2">
      <c r="B52" s="6" t="s">
        <v>51</v>
      </c>
      <c r="C52" s="6"/>
      <c r="D52" s="6"/>
      <c r="E52" s="1"/>
      <c r="F52" s="1"/>
      <c r="G52" s="1"/>
      <c r="H52" s="1"/>
    </row>
    <row r="53" spans="1:8" x14ac:dyDescent="0.2">
      <c r="B53" s="6" t="s">
        <v>52</v>
      </c>
      <c r="C53" s="6"/>
      <c r="D53" s="6"/>
      <c r="E53" s="1"/>
      <c r="F53" s="1"/>
      <c r="G53" s="1"/>
      <c r="H53" s="1"/>
    </row>
    <row r="54" spans="1:8" x14ac:dyDescent="0.2">
      <c r="B54" s="8"/>
      <c r="C54" s="8"/>
      <c r="D54" s="8"/>
      <c r="E54" s="1"/>
      <c r="F54" s="1"/>
      <c r="G54" s="1"/>
      <c r="H54" s="1"/>
    </row>
    <row r="55" spans="1:8" x14ac:dyDescent="0.2">
      <c r="B55" s="8"/>
      <c r="C55" s="8"/>
      <c r="D55" s="8"/>
      <c r="E55" s="1"/>
      <c r="F55" s="1"/>
      <c r="G55" s="1"/>
      <c r="H55" s="1"/>
    </row>
    <row r="56" spans="1:8" x14ac:dyDescent="0.2">
      <c r="B56" s="8"/>
      <c r="C56" s="8"/>
      <c r="D56" s="8"/>
      <c r="E56" s="1"/>
      <c r="F56" s="1"/>
      <c r="G56" s="1"/>
      <c r="H56" s="1"/>
    </row>
    <row r="57" spans="1:8" x14ac:dyDescent="0.2">
      <c r="B57" s="8"/>
      <c r="C57" s="8"/>
      <c r="D57" s="8"/>
      <c r="E57" s="1"/>
      <c r="F57" s="1"/>
      <c r="G57" s="1"/>
      <c r="H57" s="1"/>
    </row>
    <row r="58" spans="1:8" x14ac:dyDescent="0.2">
      <c r="B58" s="8"/>
      <c r="C58" s="8"/>
      <c r="D58" s="8"/>
      <c r="E58" s="1"/>
      <c r="F58" s="1"/>
      <c r="G58" s="1"/>
      <c r="H58" s="1"/>
    </row>
    <row r="59" spans="1:8" x14ac:dyDescent="0.2">
      <c r="B59" s="8"/>
      <c r="C59" s="8"/>
      <c r="D59" s="8"/>
      <c r="E59" s="1"/>
      <c r="F59" s="1"/>
      <c r="G59" s="1"/>
      <c r="H59" s="1"/>
    </row>
    <row r="60" spans="1:8" x14ac:dyDescent="0.2">
      <c r="B60" s="8"/>
      <c r="C60" s="8"/>
      <c r="D60" s="8"/>
      <c r="E60" s="1"/>
      <c r="F60" s="1"/>
      <c r="G60" s="1"/>
      <c r="H60" s="1"/>
    </row>
    <row r="61" spans="1:8" x14ac:dyDescent="0.2">
      <c r="B61" s="8"/>
      <c r="C61" s="8"/>
      <c r="D61" s="8"/>
      <c r="E61" s="1"/>
      <c r="F61" s="1"/>
      <c r="G61" s="1"/>
      <c r="H61" s="1"/>
    </row>
    <row r="62" spans="1:8" x14ac:dyDescent="0.2">
      <c r="B62" s="8"/>
      <c r="C62" s="8"/>
      <c r="D62" s="8"/>
      <c r="E62" s="1"/>
      <c r="F62" s="1"/>
      <c r="G62" s="1"/>
      <c r="H62" s="1"/>
    </row>
    <row r="63" spans="1:8" x14ac:dyDescent="0.2">
      <c r="B63" s="8"/>
      <c r="C63" s="8"/>
      <c r="D63" s="8"/>
      <c r="E63" s="1"/>
      <c r="F63" s="1"/>
      <c r="G63" s="1"/>
      <c r="H63" s="1"/>
    </row>
    <row r="64" spans="1:8" x14ac:dyDescent="0.2">
      <c r="B64" s="8"/>
      <c r="C64" s="8"/>
      <c r="D64" s="8"/>
      <c r="E64" s="1"/>
      <c r="F64" s="1"/>
      <c r="G64" s="1"/>
      <c r="H64" s="1"/>
    </row>
    <row r="65" spans="2:8" x14ac:dyDescent="0.2">
      <c r="B65" s="8"/>
      <c r="C65" s="8"/>
      <c r="D65" s="8"/>
      <c r="E65" s="1"/>
      <c r="F65" s="1"/>
      <c r="G65" s="1"/>
      <c r="H65" s="1"/>
    </row>
    <row r="66" spans="2:8" x14ac:dyDescent="0.2">
      <c r="B66" s="8"/>
      <c r="C66" s="8"/>
      <c r="D66" s="8"/>
      <c r="E66" s="1"/>
      <c r="F66" s="1"/>
      <c r="G66" s="1"/>
      <c r="H66" s="1"/>
    </row>
    <row r="67" spans="2:8" x14ac:dyDescent="0.2">
      <c r="B67" s="8"/>
      <c r="C67" s="8"/>
      <c r="D67" s="8"/>
      <c r="E67" s="1"/>
      <c r="F67" s="1"/>
      <c r="G67" s="1"/>
      <c r="H67" s="1"/>
    </row>
    <row r="68" spans="2:8" x14ac:dyDescent="0.2">
      <c r="B68" s="8"/>
      <c r="C68" s="8"/>
      <c r="D68" s="8"/>
      <c r="E68" s="1"/>
      <c r="F68" s="1"/>
      <c r="G68" s="1"/>
      <c r="H68" s="1"/>
    </row>
    <row r="69" spans="2:8" x14ac:dyDescent="0.2">
      <c r="B69" s="8"/>
      <c r="C69" s="8"/>
      <c r="D69" s="8"/>
      <c r="E69" s="1"/>
      <c r="F69" s="1"/>
      <c r="G69" s="1"/>
      <c r="H69" s="1"/>
    </row>
    <row r="70" spans="2:8" x14ac:dyDescent="0.2">
      <c r="B70" s="8"/>
      <c r="C70" s="8"/>
      <c r="D70" s="8"/>
      <c r="E70" s="1"/>
      <c r="F70" s="1"/>
      <c r="G70" s="1"/>
      <c r="H70" s="1"/>
    </row>
    <row r="71" spans="2:8" x14ac:dyDescent="0.2">
      <c r="B71" s="8"/>
      <c r="C71" s="8"/>
      <c r="D71" s="8"/>
      <c r="E71" s="1"/>
      <c r="F71" s="1"/>
      <c r="G71" s="1"/>
      <c r="H71" s="1"/>
    </row>
    <row r="72" spans="2:8" x14ac:dyDescent="0.2">
      <c r="B72" s="8"/>
      <c r="C72" s="8"/>
      <c r="D72" s="8"/>
      <c r="E72" s="1"/>
      <c r="F72" s="1"/>
      <c r="G72" s="1"/>
      <c r="H72" s="1"/>
    </row>
    <row r="73" spans="2:8" x14ac:dyDescent="0.2">
      <c r="B73" s="8"/>
      <c r="C73" s="8"/>
      <c r="D73" s="8"/>
      <c r="E73" s="1"/>
      <c r="F73" s="1"/>
      <c r="G73" s="1"/>
      <c r="H73" s="1"/>
    </row>
    <row r="74" spans="2:8" x14ac:dyDescent="0.2">
      <c r="B74" s="8"/>
      <c r="C74" s="8"/>
      <c r="D74" s="8"/>
      <c r="E74" s="1"/>
      <c r="F74" s="1"/>
      <c r="G74" s="1"/>
      <c r="H74" s="1"/>
    </row>
    <row r="75" spans="2:8" x14ac:dyDescent="0.2">
      <c r="B75" s="8"/>
      <c r="C75" s="8"/>
      <c r="D75" s="8"/>
      <c r="E75" s="1"/>
      <c r="F75" s="1"/>
      <c r="G75" s="1"/>
      <c r="H75" s="1"/>
    </row>
    <row r="76" spans="2:8" x14ac:dyDescent="0.2">
      <c r="B76" s="8"/>
      <c r="C76" s="8"/>
      <c r="D76" s="8"/>
      <c r="E76" s="1"/>
      <c r="F76" s="1"/>
      <c r="G76" s="1"/>
      <c r="H76" s="1"/>
    </row>
    <row r="77" spans="2:8" x14ac:dyDescent="0.2">
      <c r="B77" s="8"/>
      <c r="C77" s="8"/>
      <c r="D77" s="8"/>
      <c r="E77" s="1"/>
      <c r="F77" s="1"/>
      <c r="G77" s="1"/>
      <c r="H77" s="1"/>
    </row>
    <row r="78" spans="2:8" x14ac:dyDescent="0.2">
      <c r="B78" s="8"/>
      <c r="C78" s="8"/>
      <c r="D78" s="8"/>
      <c r="E78" s="1"/>
      <c r="F78" s="1"/>
      <c r="G78" s="1"/>
      <c r="H78" s="1"/>
    </row>
    <row r="79" spans="2:8" x14ac:dyDescent="0.2">
      <c r="B79" s="8"/>
      <c r="C79" s="8"/>
      <c r="D79" s="8"/>
      <c r="E79" s="1"/>
      <c r="F79" s="1"/>
      <c r="G79" s="1"/>
      <c r="H79" s="1"/>
    </row>
    <row r="80" spans="2:8" x14ac:dyDescent="0.2">
      <c r="B80" s="8"/>
      <c r="C80" s="8"/>
      <c r="D80" s="8"/>
      <c r="E80" s="1"/>
      <c r="F80" s="1"/>
      <c r="G80" s="1"/>
      <c r="H80" s="1"/>
    </row>
    <row r="81" spans="2:8" x14ac:dyDescent="0.2">
      <c r="B81" s="8"/>
      <c r="C81" s="8"/>
      <c r="D81" s="8"/>
      <c r="E81" s="1"/>
      <c r="F81" s="1"/>
      <c r="G81" s="1"/>
      <c r="H81" s="1"/>
    </row>
    <row r="82" spans="2:8" x14ac:dyDescent="0.2">
      <c r="B82" s="8"/>
      <c r="C82" s="8"/>
      <c r="D82" s="8"/>
      <c r="E82" s="1"/>
      <c r="F82" s="1"/>
      <c r="G82" s="1"/>
      <c r="H82" s="1"/>
    </row>
    <row r="83" spans="2:8" x14ac:dyDescent="0.2">
      <c r="B83" s="8"/>
      <c r="C83" s="8"/>
      <c r="D83" s="8"/>
      <c r="E83" s="1"/>
      <c r="F83" s="1"/>
      <c r="G83" s="1"/>
      <c r="H83" s="1"/>
    </row>
    <row r="84" spans="2:8" x14ac:dyDescent="0.2">
      <c r="B84" s="8"/>
      <c r="C84" s="8"/>
      <c r="D84" s="8"/>
      <c r="E84" s="1"/>
      <c r="F84" s="1"/>
      <c r="G84" s="1"/>
      <c r="H84" s="1"/>
    </row>
    <row r="85" spans="2:8" x14ac:dyDescent="0.2">
      <c r="B85" s="8"/>
      <c r="C85" s="8"/>
      <c r="D85" s="8"/>
      <c r="E85" s="1"/>
      <c r="F85" s="1"/>
      <c r="G85" s="1"/>
      <c r="H85" s="1"/>
    </row>
    <row r="86" spans="2:8" x14ac:dyDescent="0.2">
      <c r="B86" s="8"/>
      <c r="C86" s="8"/>
      <c r="D86" s="8"/>
      <c r="E86" s="1"/>
      <c r="F86" s="1"/>
      <c r="G86" s="1"/>
      <c r="H86" s="1"/>
    </row>
    <row r="87" spans="2:8" x14ac:dyDescent="0.2">
      <c r="B87" s="8"/>
      <c r="C87" s="8"/>
      <c r="D87" s="8"/>
      <c r="E87" s="1"/>
      <c r="F87" s="1"/>
      <c r="G87" s="1"/>
      <c r="H87" s="1"/>
    </row>
    <row r="88" spans="2:8" x14ac:dyDescent="0.2">
      <c r="B88" s="8"/>
      <c r="C88" s="8"/>
      <c r="D88" s="8"/>
      <c r="E88" s="1"/>
      <c r="F88" s="1"/>
      <c r="G88" s="1"/>
      <c r="H88" s="1"/>
    </row>
    <row r="89" spans="2:8" x14ac:dyDescent="0.2">
      <c r="B89" s="8"/>
      <c r="C89" s="8"/>
      <c r="D89" s="8"/>
      <c r="E89" s="1"/>
      <c r="F89" s="1"/>
      <c r="G89" s="1"/>
      <c r="H89" s="1"/>
    </row>
    <row r="90" spans="2:8" x14ac:dyDescent="0.2">
      <c r="B90" s="8"/>
      <c r="C90" s="8"/>
      <c r="D90" s="8"/>
      <c r="E90" s="1"/>
      <c r="F90" s="1"/>
      <c r="G90" s="1"/>
      <c r="H90" s="1"/>
    </row>
    <row r="91" spans="2:8" x14ac:dyDescent="0.2">
      <c r="B91" s="8"/>
      <c r="C91" s="8"/>
      <c r="D91" s="8"/>
      <c r="E91" s="1"/>
      <c r="F91" s="1"/>
      <c r="G91" s="1"/>
      <c r="H91" s="1"/>
    </row>
    <row r="92" spans="2:8" x14ac:dyDescent="0.2">
      <c r="B92" s="8"/>
      <c r="C92" s="8"/>
      <c r="D92" s="8"/>
      <c r="E92" s="1"/>
      <c r="F92" s="1"/>
      <c r="G92" s="1"/>
      <c r="H92" s="1"/>
    </row>
    <row r="93" spans="2:8" x14ac:dyDescent="0.2">
      <c r="B93" s="8"/>
      <c r="C93" s="8"/>
      <c r="D93" s="8"/>
      <c r="E93" s="1"/>
      <c r="F93" s="1"/>
      <c r="G93" s="1"/>
      <c r="H93" s="1"/>
    </row>
    <row r="94" spans="2:8" x14ac:dyDescent="0.2">
      <c r="B94" s="8"/>
      <c r="C94" s="8"/>
      <c r="D94" s="8"/>
      <c r="E94" s="1"/>
      <c r="F94" s="1"/>
    </row>
  </sheetData>
  <mergeCells count="79">
    <mergeCell ref="B31:D31"/>
    <mergeCell ref="B32:D32"/>
    <mergeCell ref="B33:D33"/>
    <mergeCell ref="A1:H1"/>
    <mergeCell ref="B12:D12"/>
    <mergeCell ref="B13:D13"/>
    <mergeCell ref="B14:D14"/>
    <mergeCell ref="B15:D15"/>
    <mergeCell ref="B10:D10"/>
    <mergeCell ref="B11:D11"/>
    <mergeCell ref="B7:D7"/>
    <mergeCell ref="B8:D8"/>
    <mergeCell ref="B9:D9"/>
    <mergeCell ref="B34:D34"/>
    <mergeCell ref="B68:D68"/>
    <mergeCell ref="B57:D57"/>
    <mergeCell ref="B58:D58"/>
    <mergeCell ref="B59:D59"/>
    <mergeCell ref="B60:D60"/>
    <mergeCell ref="B67:D67"/>
    <mergeCell ref="B91:D91"/>
    <mergeCell ref="B92:D92"/>
    <mergeCell ref="B81:D81"/>
    <mergeCell ref="B82:D82"/>
    <mergeCell ref="B83:D83"/>
    <mergeCell ref="B84:D84"/>
    <mergeCell ref="B79:D79"/>
    <mergeCell ref="B80:D80"/>
    <mergeCell ref="B69:D69"/>
    <mergeCell ref="B70:D70"/>
    <mergeCell ref="B71:D71"/>
    <mergeCell ref="B72:D72"/>
    <mergeCell ref="B2:D2"/>
    <mergeCell ref="B3:D3"/>
    <mergeCell ref="B4:D4"/>
    <mergeCell ref="B5:D5"/>
    <mergeCell ref="B6:D6"/>
    <mergeCell ref="B41:D41"/>
    <mergeCell ref="B16:D16"/>
    <mergeCell ref="B17:D17"/>
    <mergeCell ref="B18:D18"/>
    <mergeCell ref="B19:D19"/>
    <mergeCell ref="B20:D20"/>
    <mergeCell ref="B21:D21"/>
    <mergeCell ref="B24:D24"/>
    <mergeCell ref="B25:D25"/>
    <mergeCell ref="B26:D26"/>
    <mergeCell ref="B27:D27"/>
    <mergeCell ref="B22:D22"/>
    <mergeCell ref="B23:D23"/>
    <mergeCell ref="B28:D28"/>
    <mergeCell ref="B29:D29"/>
    <mergeCell ref="B39:D39"/>
    <mergeCell ref="B40:D40"/>
    <mergeCell ref="B66:D66"/>
    <mergeCell ref="B54:D54"/>
    <mergeCell ref="B55:D55"/>
    <mergeCell ref="B56:D56"/>
    <mergeCell ref="B61:D61"/>
    <mergeCell ref="B62:D62"/>
    <mergeCell ref="B63:D63"/>
    <mergeCell ref="B64:D64"/>
    <mergeCell ref="B65:D65"/>
    <mergeCell ref="B93:D93"/>
    <mergeCell ref="B94:D94"/>
    <mergeCell ref="G3:H3"/>
    <mergeCell ref="G23:H23"/>
    <mergeCell ref="B85:D85"/>
    <mergeCell ref="B86:D86"/>
    <mergeCell ref="B87:D87"/>
    <mergeCell ref="B88:D88"/>
    <mergeCell ref="B89:D89"/>
    <mergeCell ref="B90:D90"/>
    <mergeCell ref="B73:D73"/>
    <mergeCell ref="B74:D74"/>
    <mergeCell ref="B75:D75"/>
    <mergeCell ref="B76:D76"/>
    <mergeCell ref="B77:D77"/>
    <mergeCell ref="B78:D78"/>
  </mergeCells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Microsoft Office User</cp:lastModifiedBy>
  <dcterms:created xsi:type="dcterms:W3CDTF">2013-10-13T01:59:20Z</dcterms:created>
  <dcterms:modified xsi:type="dcterms:W3CDTF">2020-11-08T20:21:42Z</dcterms:modified>
</cp:coreProperties>
</file>
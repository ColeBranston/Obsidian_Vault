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D:\Not Used\Biz 2257\Case ansers and review\"/>
    </mc:Choice>
  </mc:AlternateContent>
  <bookViews>
    <workbookView xWindow="0" yWindow="0" windowWidth="20490" windowHeight="7755" tabRatio="500"/>
  </bookViews>
  <sheets>
    <sheet name="Sheet1" sheetId="1" r:id="rId1"/>
  </sheets>
  <calcPr calcId="152511" concurrentCalc="0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G15" i="1" l="1"/>
  <c r="G173" i="1"/>
  <c r="G28" i="1"/>
  <c r="G174" i="1"/>
  <c r="G44" i="1"/>
  <c r="G175" i="1"/>
  <c r="G49" i="1"/>
  <c r="G50" i="1"/>
  <c r="G60" i="1"/>
  <c r="G176" i="1"/>
  <c r="G67" i="1"/>
  <c r="G80" i="1"/>
  <c r="G177" i="1"/>
  <c r="G88" i="1"/>
  <c r="G98" i="1"/>
  <c r="G178" i="1"/>
  <c r="G104" i="1"/>
  <c r="G103" i="1"/>
  <c r="G114" i="1"/>
  <c r="G179" i="1"/>
  <c r="G119" i="1"/>
  <c r="G180" i="1"/>
  <c r="G130" i="1"/>
  <c r="G142" i="1"/>
  <c r="G148" i="1"/>
  <c r="G149" i="1"/>
  <c r="F153" i="1"/>
  <c r="E154" i="1"/>
  <c r="E155" i="1"/>
  <c r="F156" i="1"/>
  <c r="F157" i="1"/>
  <c r="G151" i="1"/>
  <c r="H150" i="1"/>
  <c r="E148" i="1"/>
  <c r="G181" i="1"/>
  <c r="G131" i="1"/>
  <c r="G143" i="1"/>
  <c r="G161" i="1"/>
  <c r="G162" i="1"/>
  <c r="E167" i="1"/>
  <c r="F168" i="1"/>
  <c r="G164" i="1"/>
  <c r="H163" i="1"/>
  <c r="E161" i="1"/>
  <c r="G182" i="1"/>
  <c r="G183" i="1"/>
  <c r="E177" i="1"/>
  <c r="E178" i="1"/>
  <c r="F181" i="1"/>
  <c r="F182" i="1"/>
  <c r="G185" i="1"/>
  <c r="H184" i="1"/>
  <c r="E174" i="1"/>
  <c r="G189" i="1"/>
  <c r="E193" i="1"/>
  <c r="E195" i="1"/>
  <c r="E197" i="1"/>
  <c r="G191" i="1"/>
  <c r="H190" i="1"/>
  <c r="E190" i="1"/>
  <c r="F191" i="1"/>
  <c r="H189" i="1"/>
  <c r="F175" i="1"/>
  <c r="F169" i="1"/>
  <c r="F162" i="1"/>
  <c r="H161" i="1"/>
  <c r="F149" i="1"/>
  <c r="H148" i="1"/>
  <c r="H144" i="1"/>
  <c r="B143" i="1"/>
  <c r="B142" i="1"/>
  <c r="G138" i="1"/>
  <c r="H139" i="1"/>
  <c r="B139" i="1"/>
  <c r="B138" i="1"/>
  <c r="G132" i="1"/>
  <c r="H120" i="1"/>
  <c r="G115" i="1"/>
  <c r="H116" i="1"/>
  <c r="B115" i="1"/>
  <c r="B114" i="1"/>
  <c r="G110" i="1"/>
  <c r="H111" i="1"/>
  <c r="B111" i="1"/>
  <c r="B110" i="1"/>
  <c r="G102" i="1"/>
  <c r="H99" i="1"/>
  <c r="B98" i="1"/>
  <c r="G94" i="1"/>
  <c r="H95" i="1"/>
  <c r="B95" i="1"/>
  <c r="B94" i="1"/>
  <c r="G87" i="1"/>
  <c r="G81" i="1"/>
  <c r="H82" i="1"/>
  <c r="B81" i="1"/>
  <c r="B80" i="1"/>
  <c r="G76" i="1"/>
  <c r="H77" i="1"/>
  <c r="B77" i="1"/>
  <c r="B76" i="1"/>
  <c r="G66" i="1"/>
  <c r="H61" i="1"/>
  <c r="B60" i="1"/>
  <c r="G56" i="1"/>
  <c r="H57" i="1"/>
  <c r="B57" i="1"/>
  <c r="B56" i="1"/>
  <c r="H46" i="1"/>
  <c r="H34" i="1"/>
  <c r="G39" i="1"/>
  <c r="H45" i="1"/>
  <c r="B44" i="1"/>
  <c r="H40" i="1"/>
  <c r="H29" i="1"/>
  <c r="B19" i="1"/>
  <c r="B28" i="1"/>
  <c r="H21" i="1"/>
  <c r="G24" i="1"/>
  <c r="H25" i="1"/>
  <c r="B25" i="1"/>
  <c r="B24" i="1"/>
  <c r="H16" i="1"/>
  <c r="B15" i="1"/>
  <c r="H8" i="1"/>
  <c r="G11" i="1"/>
  <c r="H12" i="1"/>
  <c r="B12" i="1"/>
  <c r="B11" i="1"/>
</calcChain>
</file>

<file path=xl/sharedStrings.xml><?xml version="1.0" encoding="utf-8"?>
<sst xmlns="http://schemas.openxmlformats.org/spreadsheetml/2006/main" count="156" uniqueCount="113">
  <si>
    <t>CANFAM LIMITED</t>
  </si>
  <si>
    <t>HUMAN RESOURCES</t>
  </si>
  <si>
    <t>SHOULD</t>
  </si>
  <si>
    <t>Dr Salaries and Benefits Expense</t>
  </si>
  <si>
    <t>Dr W.I.P. (FOH Indirect Labour)</t>
  </si>
  <si>
    <t>Cr Cash</t>
  </si>
  <si>
    <t>DID</t>
  </si>
  <si>
    <t>DO</t>
  </si>
  <si>
    <t>Cr Salaries and Benefits Expense</t>
  </si>
  <si>
    <t>1.)</t>
  </si>
  <si>
    <t>2.)</t>
  </si>
  <si>
    <t>Dr W.I.P. (Direct Labour)</t>
  </si>
  <si>
    <t>Cr Wages Payable</t>
  </si>
  <si>
    <t>10,626 - 966 = 9,660</t>
  </si>
  <si>
    <t>11.50*84 = 966</t>
  </si>
  <si>
    <t>Dr Factory Wages Expense</t>
  </si>
  <si>
    <t>Cr Factory Wages Expense</t>
  </si>
  <si>
    <t>3.)</t>
  </si>
  <si>
    <t>Dr Cleaning Expense</t>
  </si>
  <si>
    <t>Dr W.I.P. (FOH Cleaning)</t>
  </si>
  <si>
    <t>500*15%=75</t>
  </si>
  <si>
    <t>500-75-425</t>
  </si>
  <si>
    <t>Cr Cleaning Expense</t>
  </si>
  <si>
    <t>4.)</t>
  </si>
  <si>
    <t>FACTORY OVERHEAD</t>
  </si>
  <si>
    <t>Dr Rent Expense</t>
  </si>
  <si>
    <t>Dr W.I.P. (FOH - Rent)</t>
  </si>
  <si>
    <t>Dr Prepaid Rent</t>
  </si>
  <si>
    <t>Prepaid: 4,560/2 = 2,280</t>
  </si>
  <si>
    <t>Expense: 2,280*10% = 228</t>
  </si>
  <si>
    <t>W.I.P.: 2,280*90%=2,052</t>
  </si>
  <si>
    <t>Cr Rent Expense</t>
  </si>
  <si>
    <t>5.)</t>
  </si>
  <si>
    <t>Dr Utilities Expense</t>
  </si>
  <si>
    <t>Dr W.I.P. (FOH - Utilities)</t>
  </si>
  <si>
    <t>1560*90%=1,404</t>
  </si>
  <si>
    <t>1,560-1,404=156</t>
  </si>
  <si>
    <t>6.)</t>
  </si>
  <si>
    <t>Cr Utilities Expense</t>
  </si>
  <si>
    <t>Dr Insurance Expense</t>
  </si>
  <si>
    <t>Dr W.I.P. (FOH - Insurance)</t>
  </si>
  <si>
    <t>Dr Prepaid Insurance</t>
  </si>
  <si>
    <t>4,800/12 = 400</t>
  </si>
  <si>
    <t>400*50% = 200</t>
  </si>
  <si>
    <t>Cr Insurance Expense</t>
  </si>
  <si>
    <t>7.)</t>
  </si>
  <si>
    <t>8.)</t>
  </si>
  <si>
    <t>Cr A/D - Production Machinery</t>
  </si>
  <si>
    <t>154,000/10*(1/12)=1,283</t>
  </si>
  <si>
    <t>Dr Raw Materials - Resin</t>
  </si>
  <si>
    <t>Dr Raw Materials - Boxes</t>
  </si>
  <si>
    <t>Dr Delivery Expense</t>
  </si>
  <si>
    <t>600*25%=150</t>
  </si>
  <si>
    <t>150/5 purchase = 30/purchase</t>
  </si>
  <si>
    <t>Cr Delivery Expense</t>
  </si>
  <si>
    <t>RAW MATERIALS RESIN VALUATION</t>
  </si>
  <si>
    <t>9.)</t>
  </si>
  <si>
    <t>RM - RESIN</t>
  </si>
  <si>
    <t>from T/B</t>
  </si>
  <si>
    <t>10.)</t>
  </si>
  <si>
    <t>Dr W.I.P. (RM - Resin)</t>
  </si>
  <si>
    <t>Cr RM - Resin</t>
  </si>
  <si>
    <t>T/B</t>
  </si>
  <si>
    <t>E/B:</t>
  </si>
  <si>
    <t>Units Remaining: 22,338-21,000</t>
  </si>
  <si>
    <t>October 30/00 (ALL in E/I)</t>
  </si>
  <si>
    <t>October 8/00 Unit Cost</t>
  </si>
  <si>
    <t>Value in E/I (Units * Unit Cost)</t>
  </si>
  <si>
    <t>Ending Inventory</t>
  </si>
  <si>
    <t>E/B</t>
  </si>
  <si>
    <t>CORMU</t>
  </si>
  <si>
    <t>RAW MATERIALS BOXES VALUATION</t>
  </si>
  <si>
    <t>11.)</t>
  </si>
  <si>
    <t>Dr W.I.P. (RM Boxes)</t>
  </si>
  <si>
    <t>Cr RM Boxes</t>
  </si>
  <si>
    <t>RM - BOXES</t>
  </si>
  <si>
    <t>Units in Ending Inventory</t>
  </si>
  <si>
    <t>October 11/00 Unit Cost</t>
  </si>
  <si>
    <t>WORK IN PROCESS VALUATION</t>
  </si>
  <si>
    <t>12.)</t>
  </si>
  <si>
    <t>Dr Finished Goods</t>
  </si>
  <si>
    <t>Cr W.I.P. (COFGM)</t>
  </si>
  <si>
    <t>W.I.P.</t>
  </si>
  <si>
    <t>1.) FOH IDL</t>
  </si>
  <si>
    <t>2.) FOH IDL</t>
  </si>
  <si>
    <t>3.) DL</t>
  </si>
  <si>
    <t>4.) FOH</t>
  </si>
  <si>
    <t>5.) FOH</t>
  </si>
  <si>
    <t>6.) FOH</t>
  </si>
  <si>
    <t>7.) FOH</t>
  </si>
  <si>
    <t>8.) FOH</t>
  </si>
  <si>
    <t>Dr W.I.P. (FOH Depreciation)</t>
  </si>
  <si>
    <t>10.) RESIN</t>
  </si>
  <si>
    <t>11.) BOXES</t>
  </si>
  <si>
    <t>Total FOH</t>
  </si>
  <si>
    <t>Total DL</t>
  </si>
  <si>
    <t>Partial DL (given)</t>
  </si>
  <si>
    <t>Partial RM (given)</t>
  </si>
  <si>
    <t>Partial FOH (TFOH * pDL/TDL)</t>
  </si>
  <si>
    <t>E/B in W.I.P.</t>
  </si>
  <si>
    <t>COFGM</t>
  </si>
  <si>
    <t>FINISHED GOODS VALUATION</t>
  </si>
  <si>
    <t>13.)</t>
  </si>
  <si>
    <t>DR COGS Expense</t>
  </si>
  <si>
    <t>Cr Finished Goods</t>
  </si>
  <si>
    <t>FINISHED GOODS</t>
  </si>
  <si>
    <t>COGS</t>
  </si>
  <si>
    <t>COGAFS</t>
  </si>
  <si>
    <t>UAFS (page 1 of case)</t>
  </si>
  <si>
    <t>Avg Unit Cost</t>
  </si>
  <si>
    <t>E/B un Units</t>
  </si>
  <si>
    <t>E/B in Dollars</t>
  </si>
  <si>
    <t>Cr Utilities Payable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</si>
</sst>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* #,##0.00_);_(* \(#,##0.00\);_(* &quot;-&quot;??_);_(@_)"/>
    <numFmt numFmtId="165" formatCode="_(* #,##0_);_(* \(#,##0\);_(* &quot;-&quot;??_);_(@_)"/>
    <numFmt numFmtId="166" formatCode="_(* #,##0.000_);_(* \(#,##0.000\);_(* &quot;-&quot;??_);_(@_)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sz val="20"/>
      <color theme="1"/>
      <name val="Calibri"/>
      <scheme val="minor"/>
    </font>
    <font>
      <b/>
      <u/>
      <sz val="12"/>
      <color theme="1"/>
      <name val="Calibri"/>
      <scheme val="minor"/>
    </font>
    <font>
      <b/>
      <i/>
      <sz val="12"/>
      <color theme="1"/>
      <name val="Calibri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6">
    <xf numFmtId="0" fontId="0" fillId="0" borderId="0"/>
    <xf numFmtId="164" fontId="1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</cellStyleXfs>
  <cellXfs count="37">
    <xf numFmtId="0" fontId="0" fillId="0" borderId="0" xfId="0"/>
    <xf numFmtId="165" fontId="0" fillId="0" borderId="0" xfId="1" applyNumberFormat="1" applyFont="1"/>
    <xf numFmtId="0" fontId="5" fillId="0" borderId="0" xfId="0" applyFont="1"/>
    <xf numFmtId="165" fontId="5" fillId="0" borderId="0" xfId="1" applyNumberFormat="1" applyFont="1"/>
    <xf numFmtId="0" fontId="0" fillId="0" borderId="0" xfId="0" applyAlignment="1"/>
    <xf numFmtId="165" fontId="0" fillId="0" borderId="2" xfId="1" applyNumberFormat="1" applyFont="1" applyBorder="1"/>
    <xf numFmtId="165" fontId="0" fillId="0" borderId="4" xfId="1" applyNumberFormat="1" applyFont="1" applyBorder="1"/>
    <xf numFmtId="165" fontId="0" fillId="0" borderId="5" xfId="1" applyNumberFormat="1" applyFont="1" applyBorder="1"/>
    <xf numFmtId="165" fontId="0" fillId="0" borderId="6" xfId="1" applyNumberFormat="1" applyFont="1" applyBorder="1"/>
    <xf numFmtId="165" fontId="0" fillId="0" borderId="3" xfId="1" applyNumberFormat="1" applyFont="1" applyBorder="1"/>
    <xf numFmtId="165" fontId="0" fillId="0" borderId="0" xfId="1" applyNumberFormat="1" applyFont="1" applyAlignment="1"/>
    <xf numFmtId="166" fontId="0" fillId="0" borderId="0" xfId="1" applyNumberFormat="1" applyFont="1" applyAlignment="1"/>
    <xf numFmtId="165" fontId="0" fillId="0" borderId="3" xfId="1" applyNumberFormat="1" applyFont="1" applyBorder="1" applyAlignment="1"/>
    <xf numFmtId="165" fontId="5" fillId="0" borderId="0" xfId="0" applyNumberFormat="1" applyFont="1" applyAlignment="1"/>
    <xf numFmtId="0" fontId="5" fillId="0" borderId="0" xfId="0" applyFont="1" applyAlignment="1"/>
    <xf numFmtId="165" fontId="0" fillId="0" borderId="0" xfId="1" applyNumberFormat="1" applyFont="1" applyBorder="1"/>
    <xf numFmtId="165" fontId="5" fillId="0" borderId="0" xfId="1" applyNumberFormat="1" applyFont="1" applyAlignment="1"/>
    <xf numFmtId="0" fontId="0" fillId="0" borderId="5" xfId="0" applyBorder="1"/>
    <xf numFmtId="165" fontId="0" fillId="0" borderId="4" xfId="0" applyNumberFormat="1" applyBorder="1"/>
    <xf numFmtId="165" fontId="0" fillId="0" borderId="5" xfId="0" applyNumberFormat="1" applyBorder="1"/>
    <xf numFmtId="165" fontId="0" fillId="0" borderId="6" xfId="0" applyNumberFormat="1" applyBorder="1"/>
    <xf numFmtId="0" fontId="0" fillId="0" borderId="3" xfId="0" applyBorder="1"/>
    <xf numFmtId="0" fontId="0" fillId="0" borderId="0" xfId="0" applyFill="1" applyBorder="1"/>
    <xf numFmtId="165" fontId="0" fillId="0" borderId="0" xfId="0" applyNumberFormat="1"/>
    <xf numFmtId="0" fontId="0" fillId="0" borderId="6" xfId="0" applyBorder="1"/>
    <xf numFmtId="165" fontId="0" fillId="0" borderId="3" xfId="0" applyNumberFormat="1" applyBorder="1"/>
    <xf numFmtId="165" fontId="5" fillId="0" borderId="0" xfId="0" applyNumberFormat="1" applyFont="1"/>
    <xf numFmtId="0" fontId="0" fillId="0" borderId="0" xfId="0" applyBorder="1" applyAlignment="1">
      <alignment horizontal="center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indent="1"/>
    </xf>
    <xf numFmtId="0" fontId="0" fillId="0" borderId="0" xfId="0" applyAlignment="1">
      <alignment horizontal="left" indent="1"/>
    </xf>
    <xf numFmtId="0" fontId="3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16" fontId="0" fillId="0" borderId="0" xfId="0" applyNumberFormat="1" applyAlignment="1">
      <alignment horizontal="left"/>
    </xf>
    <xf numFmtId="165" fontId="0" fillId="0" borderId="3" xfId="1" applyNumberFormat="1" applyFont="1" applyBorder="1" applyAlignment="1">
      <alignment horizontal="center"/>
    </xf>
  </cellXfs>
  <cellStyles count="16">
    <cellStyle name="Comma" xfId="1" builtinId="3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14"/>
  <sheetViews>
    <sheetView tabSelected="1" view="pageLayout" topLeftCell="A82" zoomScale="125" zoomScalePageLayoutView="125" workbookViewId="0">
      <selection activeCell="B90" sqref="B90:F90"/>
    </sheetView>
  </sheetViews>
  <sheetFormatPr defaultColWidth="11" defaultRowHeight="15.75" x14ac:dyDescent="0.25"/>
  <cols>
    <col min="1" max="1" width="4" customWidth="1"/>
  </cols>
  <sheetData>
    <row r="1" spans="1:8" ht="27" customHeight="1" thickBot="1" x14ac:dyDescent="0.45">
      <c r="A1" s="33" t="s">
        <v>0</v>
      </c>
      <c r="B1" s="33"/>
      <c r="C1" s="33"/>
      <c r="D1" s="33"/>
      <c r="E1" s="33"/>
      <c r="F1" s="33"/>
      <c r="G1" s="33"/>
      <c r="H1" s="33"/>
    </row>
    <row r="2" spans="1:8" x14ac:dyDescent="0.25">
      <c r="B2" s="27"/>
      <c r="C2" s="27"/>
      <c r="D2" s="27"/>
      <c r="E2" s="27"/>
      <c r="F2" s="27"/>
      <c r="G2" s="1"/>
      <c r="H2" s="1"/>
    </row>
    <row r="3" spans="1:8" x14ac:dyDescent="0.25">
      <c r="B3" s="28" t="s">
        <v>1</v>
      </c>
      <c r="C3" s="28"/>
      <c r="D3" s="28"/>
      <c r="E3" s="28"/>
      <c r="F3" s="28"/>
      <c r="G3" s="1"/>
      <c r="H3" s="1"/>
    </row>
    <row r="4" spans="1:8" x14ac:dyDescent="0.25">
      <c r="B4" s="29"/>
      <c r="C4" s="29"/>
      <c r="D4" s="29"/>
      <c r="E4" s="29"/>
      <c r="F4" s="29"/>
      <c r="G4" s="1"/>
      <c r="H4" s="1"/>
    </row>
    <row r="5" spans="1:8" x14ac:dyDescent="0.25">
      <c r="B5" s="29" t="s">
        <v>2</v>
      </c>
      <c r="C5" s="29"/>
      <c r="D5" s="29"/>
      <c r="E5" s="29"/>
      <c r="F5" s="29"/>
      <c r="G5" s="1"/>
      <c r="H5" s="1"/>
    </row>
    <row r="6" spans="1:8" x14ac:dyDescent="0.25">
      <c r="B6" s="29" t="s">
        <v>3</v>
      </c>
      <c r="C6" s="29"/>
      <c r="D6" s="29"/>
      <c r="E6" s="29"/>
      <c r="F6" s="29"/>
      <c r="G6" s="1">
        <v>2400</v>
      </c>
      <c r="H6" s="1"/>
    </row>
    <row r="7" spans="1:8" x14ac:dyDescent="0.25">
      <c r="B7" s="29" t="s">
        <v>4</v>
      </c>
      <c r="C7" s="29"/>
      <c r="D7" s="29"/>
      <c r="E7" s="29"/>
      <c r="F7" s="29"/>
      <c r="G7" s="1">
        <v>2900</v>
      </c>
      <c r="H7" s="1"/>
    </row>
    <row r="8" spans="1:8" x14ac:dyDescent="0.25">
      <c r="B8" s="32" t="s">
        <v>5</v>
      </c>
      <c r="C8" s="32"/>
      <c r="D8" s="32"/>
      <c r="E8" s="32"/>
      <c r="F8" s="32"/>
      <c r="G8" s="1"/>
      <c r="H8" s="1">
        <f>G7+G6</f>
        <v>5300</v>
      </c>
    </row>
    <row r="9" spans="1:8" x14ac:dyDescent="0.25">
      <c r="B9" s="29"/>
      <c r="C9" s="29"/>
      <c r="D9" s="29"/>
      <c r="E9" s="29"/>
      <c r="F9" s="29"/>
      <c r="G9" s="1"/>
      <c r="H9" s="1"/>
    </row>
    <row r="10" spans="1:8" x14ac:dyDescent="0.25">
      <c r="B10" s="29" t="s">
        <v>6</v>
      </c>
      <c r="C10" s="29"/>
      <c r="D10" s="29"/>
      <c r="E10" s="29"/>
      <c r="F10" s="29"/>
      <c r="G10" s="1"/>
      <c r="H10" s="1"/>
    </row>
    <row r="11" spans="1:8" x14ac:dyDescent="0.25">
      <c r="B11" s="29" t="str">
        <f>B6</f>
        <v>Dr Salaries and Benefits Expense</v>
      </c>
      <c r="C11" s="29"/>
      <c r="D11" s="29"/>
      <c r="E11" s="29"/>
      <c r="F11" s="29"/>
      <c r="G11" s="1">
        <f>H8</f>
        <v>5300</v>
      </c>
      <c r="H11" s="1"/>
    </row>
    <row r="12" spans="1:8" x14ac:dyDescent="0.25">
      <c r="B12" s="32" t="str">
        <f>B8</f>
        <v>Cr Cash</v>
      </c>
      <c r="C12" s="32"/>
      <c r="D12" s="32"/>
      <c r="E12" s="32"/>
      <c r="F12" s="32"/>
      <c r="G12" s="1"/>
      <c r="H12" s="1">
        <f>G11</f>
        <v>5300</v>
      </c>
    </row>
    <row r="13" spans="1:8" x14ac:dyDescent="0.25">
      <c r="B13" s="29"/>
      <c r="C13" s="29"/>
      <c r="D13" s="29"/>
      <c r="E13" s="29"/>
      <c r="F13" s="29"/>
      <c r="G13" s="1"/>
      <c r="H13" s="1"/>
    </row>
    <row r="14" spans="1:8" x14ac:dyDescent="0.25">
      <c r="A14" s="2"/>
      <c r="B14" s="30" t="s">
        <v>7</v>
      </c>
      <c r="C14" s="30"/>
      <c r="D14" s="30"/>
      <c r="E14" s="30"/>
      <c r="F14" s="30"/>
      <c r="G14" s="3"/>
      <c r="H14" s="3"/>
    </row>
    <row r="15" spans="1:8" x14ac:dyDescent="0.25">
      <c r="A15" s="2" t="s">
        <v>9</v>
      </c>
      <c r="B15" s="30" t="str">
        <f>B7</f>
        <v>Dr W.I.P. (FOH Indirect Labour)</v>
      </c>
      <c r="C15" s="30"/>
      <c r="D15" s="30"/>
      <c r="E15" s="30"/>
      <c r="F15" s="30"/>
      <c r="G15" s="3">
        <f>G7</f>
        <v>2900</v>
      </c>
      <c r="H15" s="3"/>
    </row>
    <row r="16" spans="1:8" x14ac:dyDescent="0.25">
      <c r="A16" s="2"/>
      <c r="B16" s="31" t="s">
        <v>8</v>
      </c>
      <c r="C16" s="31"/>
      <c r="D16" s="31"/>
      <c r="E16" s="31"/>
      <c r="F16" s="31"/>
      <c r="G16" s="3"/>
      <c r="H16" s="3">
        <f>G15</f>
        <v>2900</v>
      </c>
    </row>
    <row r="17" spans="1:8" x14ac:dyDescent="0.25">
      <c r="B17" s="29"/>
      <c r="C17" s="29"/>
      <c r="D17" s="29"/>
      <c r="E17" s="29"/>
      <c r="F17" s="29"/>
      <c r="G17" s="1"/>
      <c r="H17" s="1"/>
    </row>
    <row r="18" spans="1:8" x14ac:dyDescent="0.25">
      <c r="B18" s="29" t="s">
        <v>2</v>
      </c>
      <c r="C18" s="29"/>
      <c r="D18" s="29"/>
      <c r="E18" s="29"/>
      <c r="F18" s="29"/>
      <c r="G18" s="1"/>
      <c r="H18" s="1"/>
    </row>
    <row r="19" spans="1:8" x14ac:dyDescent="0.25">
      <c r="B19" s="29" t="str">
        <f>B6</f>
        <v>Dr Salaries and Benefits Expense</v>
      </c>
      <c r="C19" s="29"/>
      <c r="D19" s="29"/>
      <c r="E19" s="29"/>
      <c r="F19" s="29"/>
      <c r="G19" s="1">
        <v>600</v>
      </c>
      <c r="H19" s="1"/>
    </row>
    <row r="20" spans="1:8" x14ac:dyDescent="0.25">
      <c r="B20" s="29" t="s">
        <v>4</v>
      </c>
      <c r="C20" s="29"/>
      <c r="D20" s="29"/>
      <c r="E20" s="29"/>
      <c r="F20" s="29"/>
      <c r="G20" s="1">
        <v>2400</v>
      </c>
      <c r="H20" s="1"/>
    </row>
    <row r="21" spans="1:8" x14ac:dyDescent="0.25">
      <c r="B21" s="32" t="s">
        <v>5</v>
      </c>
      <c r="C21" s="32"/>
      <c r="D21" s="32"/>
      <c r="E21" s="32"/>
      <c r="F21" s="32"/>
      <c r="G21" s="1"/>
      <c r="H21" s="1">
        <f>G20+G19</f>
        <v>3000</v>
      </c>
    </row>
    <row r="22" spans="1:8" x14ac:dyDescent="0.25">
      <c r="B22" s="29"/>
      <c r="C22" s="29"/>
      <c r="D22" s="29"/>
      <c r="E22" s="29"/>
      <c r="F22" s="29"/>
      <c r="G22" s="1"/>
      <c r="H22" s="1"/>
    </row>
    <row r="23" spans="1:8" x14ac:dyDescent="0.25">
      <c r="B23" s="29" t="s">
        <v>6</v>
      </c>
      <c r="C23" s="29"/>
      <c r="D23" s="29"/>
      <c r="E23" s="29"/>
      <c r="F23" s="29"/>
      <c r="G23" s="1"/>
      <c r="H23" s="1"/>
    </row>
    <row r="24" spans="1:8" x14ac:dyDescent="0.25">
      <c r="B24" s="29" t="str">
        <f>B19</f>
        <v>Dr Salaries and Benefits Expense</v>
      </c>
      <c r="C24" s="29"/>
      <c r="D24" s="29"/>
      <c r="E24" s="29"/>
      <c r="F24" s="29"/>
      <c r="G24" s="1">
        <f>H21</f>
        <v>3000</v>
      </c>
      <c r="H24" s="1"/>
    </row>
    <row r="25" spans="1:8" x14ac:dyDescent="0.25">
      <c r="B25" s="32" t="str">
        <f>B21</f>
        <v>Cr Cash</v>
      </c>
      <c r="C25" s="32"/>
      <c r="D25" s="32"/>
      <c r="E25" s="32"/>
      <c r="F25" s="32"/>
      <c r="G25" s="1"/>
      <c r="H25" s="1">
        <f>G24</f>
        <v>3000</v>
      </c>
    </row>
    <row r="26" spans="1:8" x14ac:dyDescent="0.25">
      <c r="B26" s="29"/>
      <c r="C26" s="29"/>
      <c r="D26" s="29"/>
      <c r="E26" s="29"/>
      <c r="F26" s="29"/>
      <c r="G26" s="1"/>
      <c r="H26" s="1"/>
    </row>
    <row r="27" spans="1:8" x14ac:dyDescent="0.25">
      <c r="A27" t="s">
        <v>10</v>
      </c>
      <c r="B27" s="30" t="s">
        <v>7</v>
      </c>
      <c r="C27" s="30"/>
      <c r="D27" s="30"/>
      <c r="E27" s="30"/>
      <c r="F27" s="30"/>
      <c r="G27" s="3"/>
      <c r="H27" s="3"/>
    </row>
    <row r="28" spans="1:8" x14ac:dyDescent="0.25">
      <c r="B28" s="30" t="str">
        <f>B20</f>
        <v>Dr W.I.P. (FOH Indirect Labour)</v>
      </c>
      <c r="C28" s="30"/>
      <c r="D28" s="30"/>
      <c r="E28" s="30"/>
      <c r="F28" s="30"/>
      <c r="G28" s="3">
        <f>G20</f>
        <v>2400</v>
      </c>
      <c r="H28" s="3"/>
    </row>
    <row r="29" spans="1:8" x14ac:dyDescent="0.25">
      <c r="B29" s="31" t="s">
        <v>8</v>
      </c>
      <c r="C29" s="31"/>
      <c r="D29" s="31"/>
      <c r="E29" s="31"/>
      <c r="F29" s="31"/>
      <c r="G29" s="3"/>
      <c r="H29" s="3">
        <f>G28</f>
        <v>2400</v>
      </c>
    </row>
    <row r="30" spans="1:8" x14ac:dyDescent="0.25">
      <c r="B30" s="29"/>
      <c r="C30" s="29"/>
      <c r="D30" s="29"/>
      <c r="E30" s="29"/>
      <c r="F30" s="29"/>
      <c r="G30" s="1"/>
      <c r="H30" s="1"/>
    </row>
    <row r="31" spans="1:8" x14ac:dyDescent="0.25">
      <c r="B31" s="29" t="s">
        <v>2</v>
      </c>
      <c r="C31" s="29"/>
      <c r="D31" s="29"/>
      <c r="E31" s="29"/>
      <c r="F31" s="29"/>
      <c r="G31" s="1"/>
      <c r="H31" s="1"/>
    </row>
    <row r="32" spans="1:8" x14ac:dyDescent="0.25">
      <c r="B32" s="29" t="s">
        <v>11</v>
      </c>
      <c r="C32" s="29"/>
      <c r="D32" s="29"/>
      <c r="E32" s="29"/>
      <c r="F32" s="29"/>
      <c r="G32" s="1">
        <v>10626</v>
      </c>
      <c r="H32" s="1"/>
    </row>
    <row r="33" spans="1:8" x14ac:dyDescent="0.25">
      <c r="B33" s="32" t="s">
        <v>12</v>
      </c>
      <c r="C33" s="32"/>
      <c r="D33" s="32"/>
      <c r="E33" s="32"/>
      <c r="F33" s="32"/>
      <c r="G33" s="1"/>
      <c r="H33" s="1">
        <v>966</v>
      </c>
    </row>
    <row r="34" spans="1:8" x14ac:dyDescent="0.25">
      <c r="B34" s="32" t="s">
        <v>5</v>
      </c>
      <c r="C34" s="32"/>
      <c r="D34" s="32"/>
      <c r="E34" s="32"/>
      <c r="F34" s="32"/>
      <c r="G34" s="1"/>
      <c r="H34" s="1">
        <f>G32-H33</f>
        <v>9660</v>
      </c>
    </row>
    <row r="35" spans="1:8" x14ac:dyDescent="0.25">
      <c r="B35" s="29" t="s">
        <v>14</v>
      </c>
      <c r="C35" s="29"/>
      <c r="D35" s="29"/>
      <c r="E35" s="29"/>
      <c r="F35" s="29"/>
      <c r="G35" s="1"/>
      <c r="H35" s="1"/>
    </row>
    <row r="36" spans="1:8" x14ac:dyDescent="0.25">
      <c r="B36" s="29" t="s">
        <v>13</v>
      </c>
      <c r="C36" s="29"/>
      <c r="D36" s="29"/>
      <c r="E36" s="29"/>
      <c r="F36" s="29"/>
      <c r="G36" s="1"/>
      <c r="H36" s="1"/>
    </row>
    <row r="37" spans="1:8" x14ac:dyDescent="0.25">
      <c r="B37" s="29"/>
      <c r="C37" s="29"/>
      <c r="D37" s="29"/>
      <c r="E37" s="29"/>
      <c r="F37" s="29"/>
      <c r="G37" s="1"/>
      <c r="H37" s="1"/>
    </row>
    <row r="38" spans="1:8" x14ac:dyDescent="0.25">
      <c r="B38" s="29" t="s">
        <v>6</v>
      </c>
      <c r="C38" s="29"/>
      <c r="D38" s="29"/>
      <c r="E38" s="29"/>
      <c r="F38" s="29"/>
      <c r="G38" s="1"/>
      <c r="H38" s="1"/>
    </row>
    <row r="39" spans="1:8" x14ac:dyDescent="0.25">
      <c r="B39" s="29" t="s">
        <v>15</v>
      </c>
      <c r="C39" s="29"/>
      <c r="D39" s="29"/>
      <c r="E39" s="29"/>
      <c r="F39" s="29"/>
      <c r="G39" s="1">
        <f>H34</f>
        <v>9660</v>
      </c>
      <c r="H39" s="1"/>
    </row>
    <row r="40" spans="1:8" x14ac:dyDescent="0.25">
      <c r="B40" s="32" t="s">
        <v>5</v>
      </c>
      <c r="C40" s="32"/>
      <c r="D40" s="32"/>
      <c r="E40" s="32"/>
      <c r="F40" s="32"/>
      <c r="G40" s="1"/>
      <c r="H40" s="1">
        <f>G39</f>
        <v>9660</v>
      </c>
    </row>
    <row r="41" spans="1:8" x14ac:dyDescent="0.25">
      <c r="B41" s="29"/>
      <c r="C41" s="29"/>
      <c r="D41" s="29"/>
      <c r="E41" s="29"/>
      <c r="F41" s="29"/>
      <c r="G41" s="1"/>
      <c r="H41" s="1"/>
    </row>
    <row r="42" spans="1:8" x14ac:dyDescent="0.25">
      <c r="B42" s="29"/>
      <c r="C42" s="29"/>
      <c r="D42" s="29"/>
      <c r="E42" s="29"/>
      <c r="F42" s="29"/>
      <c r="G42" s="1"/>
      <c r="H42" s="1"/>
    </row>
    <row r="43" spans="1:8" x14ac:dyDescent="0.25">
      <c r="A43" s="2"/>
      <c r="B43" s="30" t="s">
        <v>7</v>
      </c>
      <c r="C43" s="30"/>
      <c r="D43" s="30"/>
      <c r="E43" s="30"/>
      <c r="F43" s="30"/>
      <c r="G43" s="3"/>
      <c r="H43" s="3"/>
    </row>
    <row r="44" spans="1:8" x14ac:dyDescent="0.25">
      <c r="A44" s="2" t="s">
        <v>17</v>
      </c>
      <c r="B44" s="30" t="str">
        <f>B32</f>
        <v>Dr W.I.P. (Direct Labour)</v>
      </c>
      <c r="C44" s="30"/>
      <c r="D44" s="30"/>
      <c r="E44" s="30"/>
      <c r="F44" s="30"/>
      <c r="G44" s="3">
        <f>G32</f>
        <v>10626</v>
      </c>
      <c r="H44" s="3"/>
    </row>
    <row r="45" spans="1:8" x14ac:dyDescent="0.25">
      <c r="A45" s="2"/>
      <c r="B45" s="31" t="s">
        <v>16</v>
      </c>
      <c r="C45" s="31"/>
      <c r="D45" s="31"/>
      <c r="E45" s="31"/>
      <c r="F45" s="31"/>
      <c r="G45" s="3"/>
      <c r="H45" s="3">
        <f>G39</f>
        <v>9660</v>
      </c>
    </row>
    <row r="46" spans="1:8" x14ac:dyDescent="0.25">
      <c r="A46" s="2"/>
      <c r="B46" s="31" t="s">
        <v>12</v>
      </c>
      <c r="C46" s="31"/>
      <c r="D46" s="31"/>
      <c r="E46" s="31"/>
      <c r="F46" s="31"/>
      <c r="G46" s="3"/>
      <c r="H46" s="3">
        <f>H33</f>
        <v>966</v>
      </c>
    </row>
    <row r="47" spans="1:8" x14ac:dyDescent="0.25">
      <c r="B47" s="29"/>
      <c r="C47" s="29"/>
      <c r="D47" s="29"/>
      <c r="E47" s="29"/>
      <c r="F47" s="29"/>
      <c r="G47" s="1"/>
      <c r="H47" s="1"/>
    </row>
    <row r="48" spans="1:8" x14ac:dyDescent="0.25">
      <c r="B48" s="29" t="s">
        <v>2</v>
      </c>
      <c r="C48" s="29"/>
      <c r="D48" s="29"/>
      <c r="E48" s="29"/>
      <c r="F48" s="29"/>
      <c r="G48" s="1"/>
      <c r="H48" s="1"/>
    </row>
    <row r="49" spans="1:8" x14ac:dyDescent="0.25">
      <c r="B49" s="29" t="s">
        <v>18</v>
      </c>
      <c r="C49" s="29"/>
      <c r="D49" s="29"/>
      <c r="E49" s="29"/>
      <c r="F49" s="29"/>
      <c r="G49" s="1">
        <f>H51*0.15</f>
        <v>75</v>
      </c>
      <c r="H49" s="1"/>
    </row>
    <row r="50" spans="1:8" x14ac:dyDescent="0.25">
      <c r="B50" s="29" t="s">
        <v>19</v>
      </c>
      <c r="C50" s="29"/>
      <c r="D50" s="29"/>
      <c r="E50" s="29"/>
      <c r="F50" s="29"/>
      <c r="G50" s="1">
        <f>H51-G49</f>
        <v>425</v>
      </c>
      <c r="H50" s="1"/>
    </row>
    <row r="51" spans="1:8" x14ac:dyDescent="0.25">
      <c r="B51" s="32" t="s">
        <v>5</v>
      </c>
      <c r="C51" s="32"/>
      <c r="D51" s="32"/>
      <c r="E51" s="32"/>
      <c r="F51" s="32"/>
      <c r="G51" s="1"/>
      <c r="H51" s="1">
        <v>500</v>
      </c>
    </row>
    <row r="52" spans="1:8" x14ac:dyDescent="0.25">
      <c r="B52" s="29" t="s">
        <v>20</v>
      </c>
      <c r="C52" s="29"/>
      <c r="D52" s="29"/>
      <c r="E52" s="29"/>
      <c r="F52" s="29"/>
      <c r="G52" s="1"/>
      <c r="H52" s="1"/>
    </row>
    <row r="53" spans="1:8" x14ac:dyDescent="0.25">
      <c r="B53" s="29" t="s">
        <v>21</v>
      </c>
      <c r="C53" s="29"/>
      <c r="D53" s="29"/>
      <c r="E53" s="29"/>
      <c r="F53" s="29"/>
      <c r="G53" s="1"/>
      <c r="H53" s="1"/>
    </row>
    <row r="54" spans="1:8" x14ac:dyDescent="0.25">
      <c r="B54" s="29"/>
      <c r="C54" s="29"/>
      <c r="D54" s="29"/>
      <c r="E54" s="29"/>
      <c r="F54" s="29"/>
      <c r="G54" s="1"/>
      <c r="H54" s="1"/>
    </row>
    <row r="55" spans="1:8" x14ac:dyDescent="0.25">
      <c r="B55" s="29" t="s">
        <v>6</v>
      </c>
      <c r="C55" s="29"/>
      <c r="D55" s="29"/>
      <c r="E55" s="29"/>
      <c r="F55" s="29"/>
      <c r="G55" s="1"/>
      <c r="H55" s="1"/>
    </row>
    <row r="56" spans="1:8" x14ac:dyDescent="0.25">
      <c r="B56" s="29" t="str">
        <f>B49</f>
        <v>Dr Cleaning Expense</v>
      </c>
      <c r="C56" s="29"/>
      <c r="D56" s="29"/>
      <c r="E56" s="29"/>
      <c r="F56" s="29"/>
      <c r="G56" s="1">
        <f>H51</f>
        <v>500</v>
      </c>
      <c r="H56" s="1"/>
    </row>
    <row r="57" spans="1:8" x14ac:dyDescent="0.25">
      <c r="B57" s="32" t="str">
        <f>B51</f>
        <v>Cr Cash</v>
      </c>
      <c r="C57" s="32"/>
      <c r="D57" s="32"/>
      <c r="E57" s="32"/>
      <c r="F57" s="32"/>
      <c r="G57" s="1"/>
      <c r="H57" s="1">
        <f>G56</f>
        <v>500</v>
      </c>
    </row>
    <row r="58" spans="1:8" x14ac:dyDescent="0.25">
      <c r="B58" s="29"/>
      <c r="C58" s="29"/>
      <c r="D58" s="29"/>
      <c r="E58" s="29"/>
      <c r="F58" s="29"/>
      <c r="G58" s="1"/>
      <c r="H58" s="1"/>
    </row>
    <row r="59" spans="1:8" x14ac:dyDescent="0.25">
      <c r="A59" s="2"/>
      <c r="B59" s="30" t="s">
        <v>7</v>
      </c>
      <c r="C59" s="30"/>
      <c r="D59" s="30"/>
      <c r="E59" s="30"/>
      <c r="F59" s="30"/>
      <c r="G59" s="3"/>
      <c r="H59" s="3"/>
    </row>
    <row r="60" spans="1:8" x14ac:dyDescent="0.25">
      <c r="A60" s="2" t="s">
        <v>23</v>
      </c>
      <c r="B60" s="30" t="str">
        <f>B50</f>
        <v>Dr W.I.P. (FOH Cleaning)</v>
      </c>
      <c r="C60" s="30"/>
      <c r="D60" s="30"/>
      <c r="E60" s="30"/>
      <c r="F60" s="30"/>
      <c r="G60" s="3">
        <f>G50</f>
        <v>425</v>
      </c>
      <c r="H60" s="3"/>
    </row>
    <row r="61" spans="1:8" x14ac:dyDescent="0.25">
      <c r="A61" s="2"/>
      <c r="B61" s="31" t="s">
        <v>22</v>
      </c>
      <c r="C61" s="31"/>
      <c r="D61" s="31"/>
      <c r="E61" s="31"/>
      <c r="F61" s="31"/>
      <c r="G61" s="3"/>
      <c r="H61" s="3">
        <f>G60</f>
        <v>425</v>
      </c>
    </row>
    <row r="62" spans="1:8" x14ac:dyDescent="0.25">
      <c r="B62" s="29"/>
      <c r="C62" s="29"/>
      <c r="D62" s="29"/>
      <c r="E62" s="29"/>
      <c r="F62" s="29"/>
      <c r="G62" s="1"/>
      <c r="H62" s="1"/>
    </row>
    <row r="63" spans="1:8" x14ac:dyDescent="0.25">
      <c r="B63" s="28" t="s">
        <v>24</v>
      </c>
      <c r="C63" s="28"/>
      <c r="D63" s="28"/>
      <c r="E63" s="28"/>
      <c r="F63" s="28"/>
      <c r="G63" s="1"/>
      <c r="H63" s="1"/>
    </row>
    <row r="64" spans="1:8" x14ac:dyDescent="0.25">
      <c r="B64" s="29"/>
      <c r="C64" s="29"/>
      <c r="D64" s="29"/>
      <c r="E64" s="29"/>
      <c r="F64" s="29"/>
      <c r="G64" s="1"/>
      <c r="H64" s="1"/>
    </row>
    <row r="65" spans="1:8" x14ac:dyDescent="0.25">
      <c r="B65" s="29" t="s">
        <v>2</v>
      </c>
      <c r="C65" s="29"/>
      <c r="D65" s="29"/>
      <c r="E65" s="29"/>
      <c r="F65" s="29"/>
      <c r="G65" s="1"/>
      <c r="H65" s="1"/>
    </row>
    <row r="66" spans="1:8" x14ac:dyDescent="0.25">
      <c r="B66" s="29" t="s">
        <v>25</v>
      </c>
      <c r="C66" s="29"/>
      <c r="D66" s="29"/>
      <c r="E66" s="29"/>
      <c r="F66" s="29"/>
      <c r="G66" s="1">
        <f>H69*0.5*0.1</f>
        <v>228</v>
      </c>
      <c r="H66" s="1"/>
    </row>
    <row r="67" spans="1:8" x14ac:dyDescent="0.25">
      <c r="B67" s="29" t="s">
        <v>26</v>
      </c>
      <c r="C67" s="29"/>
      <c r="D67" s="29"/>
      <c r="E67" s="29"/>
      <c r="F67" s="29"/>
      <c r="G67" s="1">
        <f>H69*0.5*0.9</f>
        <v>2052</v>
      </c>
      <c r="H67" s="1"/>
    </row>
    <row r="68" spans="1:8" x14ac:dyDescent="0.25">
      <c r="B68" s="29" t="s">
        <v>27</v>
      </c>
      <c r="C68" s="29"/>
      <c r="D68" s="29"/>
      <c r="E68" s="29"/>
      <c r="F68" s="29"/>
      <c r="G68" s="1">
        <v>2280</v>
      </c>
      <c r="H68" s="1"/>
    </row>
    <row r="69" spans="1:8" x14ac:dyDescent="0.25">
      <c r="B69" s="32" t="s">
        <v>5</v>
      </c>
      <c r="C69" s="32"/>
      <c r="D69" s="32"/>
      <c r="E69" s="32"/>
      <c r="F69" s="32"/>
      <c r="G69" s="1"/>
      <c r="H69" s="1">
        <v>4560</v>
      </c>
    </row>
    <row r="70" spans="1:8" x14ac:dyDescent="0.25">
      <c r="B70" s="29"/>
      <c r="C70" s="29"/>
      <c r="D70" s="29"/>
      <c r="E70" s="29"/>
      <c r="F70" s="29"/>
      <c r="G70" s="1"/>
      <c r="H70" s="1"/>
    </row>
    <row r="71" spans="1:8" x14ac:dyDescent="0.25">
      <c r="B71" s="29" t="s">
        <v>28</v>
      </c>
      <c r="C71" s="29"/>
      <c r="D71" s="29"/>
      <c r="E71" s="29"/>
      <c r="F71" s="29"/>
      <c r="G71" s="1"/>
      <c r="H71" s="1"/>
    </row>
    <row r="72" spans="1:8" x14ac:dyDescent="0.25">
      <c r="B72" s="29" t="s">
        <v>29</v>
      </c>
      <c r="C72" s="29"/>
      <c r="D72" s="29"/>
      <c r="E72" s="29"/>
      <c r="F72" s="29"/>
      <c r="G72" s="1"/>
      <c r="H72" s="1"/>
    </row>
    <row r="73" spans="1:8" x14ac:dyDescent="0.25">
      <c r="B73" s="29" t="s">
        <v>30</v>
      </c>
      <c r="C73" s="29"/>
      <c r="D73" s="29"/>
      <c r="E73" s="29"/>
      <c r="F73" s="29"/>
      <c r="G73" s="1"/>
      <c r="H73" s="1"/>
    </row>
    <row r="74" spans="1:8" x14ac:dyDescent="0.25">
      <c r="B74" s="29"/>
      <c r="C74" s="29"/>
      <c r="D74" s="29"/>
      <c r="E74" s="29"/>
      <c r="F74" s="29"/>
      <c r="G74" s="1"/>
      <c r="H74" s="1"/>
    </row>
    <row r="75" spans="1:8" x14ac:dyDescent="0.25">
      <c r="B75" s="29" t="s">
        <v>6</v>
      </c>
      <c r="C75" s="29"/>
      <c r="D75" s="29"/>
      <c r="E75" s="29"/>
      <c r="F75" s="29"/>
      <c r="G75" s="1"/>
      <c r="H75" s="1"/>
    </row>
    <row r="76" spans="1:8" x14ac:dyDescent="0.25">
      <c r="B76" s="29" t="str">
        <f>B66</f>
        <v>Dr Rent Expense</v>
      </c>
      <c r="C76" s="29"/>
      <c r="D76" s="29"/>
      <c r="E76" s="29"/>
      <c r="F76" s="29"/>
      <c r="G76" s="1">
        <f>H69</f>
        <v>4560</v>
      </c>
      <c r="H76" s="1"/>
    </row>
    <row r="77" spans="1:8" x14ac:dyDescent="0.25">
      <c r="B77" s="32" t="str">
        <f>B69</f>
        <v>Cr Cash</v>
      </c>
      <c r="C77" s="32"/>
      <c r="D77" s="32"/>
      <c r="E77" s="32"/>
      <c r="F77" s="32"/>
      <c r="G77" s="1"/>
      <c r="H77" s="1">
        <f>G76</f>
        <v>4560</v>
      </c>
    </row>
    <row r="78" spans="1:8" x14ac:dyDescent="0.25">
      <c r="B78" s="29"/>
      <c r="C78" s="29"/>
      <c r="D78" s="29"/>
      <c r="E78" s="29"/>
      <c r="F78" s="29"/>
      <c r="G78" s="1"/>
      <c r="H78" s="1"/>
    </row>
    <row r="79" spans="1:8" x14ac:dyDescent="0.25">
      <c r="A79" s="2" t="s">
        <v>32</v>
      </c>
      <c r="B79" s="30" t="s">
        <v>7</v>
      </c>
      <c r="C79" s="30"/>
      <c r="D79" s="30"/>
      <c r="E79" s="30"/>
      <c r="F79" s="30"/>
      <c r="G79" s="3"/>
      <c r="H79" s="3"/>
    </row>
    <row r="80" spans="1:8" x14ac:dyDescent="0.25">
      <c r="A80" s="2"/>
      <c r="B80" s="30" t="str">
        <f>B67</f>
        <v>Dr W.I.P. (FOH - Rent)</v>
      </c>
      <c r="C80" s="30"/>
      <c r="D80" s="30"/>
      <c r="E80" s="30"/>
      <c r="F80" s="30"/>
      <c r="G80" s="3">
        <f>G67</f>
        <v>2052</v>
      </c>
      <c r="H80" s="3"/>
    </row>
    <row r="81" spans="1:8" x14ac:dyDescent="0.25">
      <c r="A81" s="2"/>
      <c r="B81" s="30" t="str">
        <f>B68</f>
        <v>Dr Prepaid Rent</v>
      </c>
      <c r="C81" s="30"/>
      <c r="D81" s="30"/>
      <c r="E81" s="30"/>
      <c r="F81" s="30"/>
      <c r="G81" s="3">
        <f>G68</f>
        <v>2280</v>
      </c>
      <c r="H81" s="3"/>
    </row>
    <row r="82" spans="1:8" x14ac:dyDescent="0.25">
      <c r="A82" s="2"/>
      <c r="B82" s="31" t="s">
        <v>31</v>
      </c>
      <c r="C82" s="31"/>
      <c r="D82" s="31"/>
      <c r="E82" s="31"/>
      <c r="F82" s="31"/>
      <c r="G82" s="3"/>
      <c r="H82" s="3">
        <f>G80+G81</f>
        <v>4332</v>
      </c>
    </row>
    <row r="83" spans="1:8" x14ac:dyDescent="0.25">
      <c r="B83" s="29"/>
      <c r="C83" s="29"/>
      <c r="D83" s="29"/>
      <c r="E83" s="29"/>
      <c r="F83" s="29"/>
      <c r="G83" s="1"/>
      <c r="H83" s="1"/>
    </row>
    <row r="84" spans="1:8" x14ac:dyDescent="0.25">
      <c r="B84" s="29"/>
      <c r="C84" s="29"/>
      <c r="D84" s="29"/>
      <c r="E84" s="29"/>
      <c r="F84" s="29"/>
      <c r="G84" s="1"/>
      <c r="H84" s="1"/>
    </row>
    <row r="85" spans="1:8" x14ac:dyDescent="0.25">
      <c r="B85" s="29"/>
      <c r="C85" s="29"/>
      <c r="D85" s="29"/>
      <c r="E85" s="29"/>
      <c r="F85" s="29"/>
      <c r="G85" s="1"/>
      <c r="H85" s="1"/>
    </row>
    <row r="86" spans="1:8" x14ac:dyDescent="0.25">
      <c r="B86" s="29" t="s">
        <v>2</v>
      </c>
      <c r="C86" s="29"/>
      <c r="D86" s="29"/>
      <c r="E86" s="29"/>
      <c r="F86" s="29"/>
      <c r="G86" s="1"/>
      <c r="H86" s="1"/>
    </row>
    <row r="87" spans="1:8" x14ac:dyDescent="0.25">
      <c r="B87" s="29" t="s">
        <v>33</v>
      </c>
      <c r="C87" s="29"/>
      <c r="D87" s="29"/>
      <c r="E87" s="29"/>
      <c r="F87" s="29"/>
      <c r="G87" s="1">
        <f>H89-G88</f>
        <v>156</v>
      </c>
      <c r="H87" s="1"/>
    </row>
    <row r="88" spans="1:8" x14ac:dyDescent="0.25">
      <c r="B88" s="29" t="s">
        <v>34</v>
      </c>
      <c r="C88" s="29"/>
      <c r="D88" s="29"/>
      <c r="E88" s="29"/>
      <c r="F88" s="29"/>
      <c r="G88" s="1">
        <f>H89*0.9</f>
        <v>1404</v>
      </c>
      <c r="H88" s="1"/>
    </row>
    <row r="89" spans="1:8" x14ac:dyDescent="0.25">
      <c r="B89" s="32" t="s">
        <v>112</v>
      </c>
      <c r="C89" s="32"/>
      <c r="D89" s="32"/>
      <c r="E89" s="32"/>
      <c r="F89" s="32"/>
      <c r="G89" s="1"/>
      <c r="H89" s="1">
        <v>1560</v>
      </c>
    </row>
    <row r="90" spans="1:8" x14ac:dyDescent="0.25">
      <c r="B90" s="29" t="s">
        <v>35</v>
      </c>
      <c r="C90" s="29"/>
      <c r="D90" s="29"/>
      <c r="E90" s="29"/>
      <c r="F90" s="29"/>
      <c r="G90" s="1"/>
      <c r="H90" s="1"/>
    </row>
    <row r="91" spans="1:8" x14ac:dyDescent="0.25">
      <c r="B91" s="29" t="s">
        <v>36</v>
      </c>
      <c r="C91" s="29"/>
      <c r="D91" s="29"/>
      <c r="E91" s="29"/>
      <c r="F91" s="29"/>
      <c r="G91" s="1"/>
      <c r="H91" s="1"/>
    </row>
    <row r="92" spans="1:8" x14ac:dyDescent="0.25">
      <c r="B92" s="29"/>
      <c r="C92" s="29"/>
      <c r="D92" s="29"/>
      <c r="E92" s="29"/>
      <c r="F92" s="29"/>
      <c r="G92" s="1"/>
      <c r="H92" s="1"/>
    </row>
    <row r="93" spans="1:8" x14ac:dyDescent="0.25">
      <c r="B93" s="29" t="s">
        <v>6</v>
      </c>
      <c r="C93" s="29"/>
      <c r="D93" s="29"/>
      <c r="E93" s="29"/>
      <c r="F93" s="29"/>
      <c r="G93" s="1"/>
      <c r="H93" s="1"/>
    </row>
    <row r="94" spans="1:8" x14ac:dyDescent="0.25">
      <c r="B94" s="29" t="str">
        <f>B87</f>
        <v>Dr Utilities Expense</v>
      </c>
      <c r="C94" s="29"/>
      <c r="D94" s="29"/>
      <c r="E94" s="29"/>
      <c r="F94" s="29"/>
      <c r="G94" s="1">
        <f>H89</f>
        <v>1560</v>
      </c>
      <c r="H94" s="1"/>
    </row>
    <row r="95" spans="1:8" x14ac:dyDescent="0.25">
      <c r="B95" s="32" t="str">
        <f>B89</f>
        <v>Cr Utilities Payable</v>
      </c>
      <c r="C95" s="32"/>
      <c r="D95" s="32"/>
      <c r="E95" s="32"/>
      <c r="F95" s="32"/>
      <c r="G95" s="1"/>
      <c r="H95" s="1">
        <f>G94</f>
        <v>1560</v>
      </c>
    </row>
    <row r="96" spans="1:8" x14ac:dyDescent="0.25">
      <c r="A96" s="2"/>
      <c r="B96" s="30"/>
      <c r="C96" s="30"/>
      <c r="D96" s="30"/>
      <c r="E96" s="30"/>
      <c r="F96" s="30"/>
      <c r="G96" s="3"/>
      <c r="H96" s="3"/>
    </row>
    <row r="97" spans="1:8" x14ac:dyDescent="0.25">
      <c r="A97" s="2"/>
      <c r="B97" s="30" t="s">
        <v>7</v>
      </c>
      <c r="C97" s="30"/>
      <c r="D97" s="30"/>
      <c r="E97" s="30"/>
      <c r="F97" s="30"/>
      <c r="G97" s="3"/>
      <c r="H97" s="3"/>
    </row>
    <row r="98" spans="1:8" x14ac:dyDescent="0.25">
      <c r="A98" s="2" t="s">
        <v>37</v>
      </c>
      <c r="B98" s="30" t="str">
        <f>B88</f>
        <v>Dr W.I.P. (FOH - Utilities)</v>
      </c>
      <c r="C98" s="30"/>
      <c r="D98" s="30"/>
      <c r="E98" s="30"/>
      <c r="F98" s="30"/>
      <c r="G98" s="3">
        <f>G88</f>
        <v>1404</v>
      </c>
      <c r="H98" s="3"/>
    </row>
    <row r="99" spans="1:8" x14ac:dyDescent="0.25">
      <c r="A99" s="2"/>
      <c r="B99" s="31" t="s">
        <v>38</v>
      </c>
      <c r="C99" s="31"/>
      <c r="D99" s="31"/>
      <c r="E99" s="31"/>
      <c r="F99" s="31"/>
      <c r="G99" s="3"/>
      <c r="H99" s="3">
        <f>G98</f>
        <v>1404</v>
      </c>
    </row>
    <row r="100" spans="1:8" x14ac:dyDescent="0.25">
      <c r="B100" s="29"/>
      <c r="C100" s="29"/>
      <c r="D100" s="29"/>
      <c r="E100" s="29"/>
      <c r="F100" s="29"/>
      <c r="G100" s="1"/>
      <c r="H100" s="1"/>
    </row>
    <row r="101" spans="1:8" x14ac:dyDescent="0.25">
      <c r="B101" s="29" t="s">
        <v>2</v>
      </c>
      <c r="C101" s="29"/>
      <c r="D101" s="29"/>
      <c r="E101" s="29"/>
      <c r="F101" s="29"/>
      <c r="G101" s="1"/>
      <c r="H101" s="1"/>
    </row>
    <row r="102" spans="1:8" x14ac:dyDescent="0.25">
      <c r="B102" s="29" t="s">
        <v>39</v>
      </c>
      <c r="C102" s="29"/>
      <c r="D102" s="29"/>
      <c r="E102" s="29"/>
      <c r="F102" s="29"/>
      <c r="G102" s="1">
        <f>(H105-G104)*0.5</f>
        <v>200</v>
      </c>
      <c r="H102" s="1"/>
    </row>
    <row r="103" spans="1:8" x14ac:dyDescent="0.25">
      <c r="B103" s="29" t="s">
        <v>40</v>
      </c>
      <c r="C103" s="29"/>
      <c r="D103" s="29"/>
      <c r="E103" s="29"/>
      <c r="F103" s="29"/>
      <c r="G103" s="1">
        <f>(H105-G104)*0.5</f>
        <v>200</v>
      </c>
      <c r="H103" s="1"/>
    </row>
    <row r="104" spans="1:8" x14ac:dyDescent="0.25">
      <c r="B104" s="29" t="s">
        <v>41</v>
      </c>
      <c r="C104" s="29"/>
      <c r="D104" s="29"/>
      <c r="E104" s="29"/>
      <c r="F104" s="29"/>
      <c r="G104" s="1">
        <f>H105*(11/12)</f>
        <v>4400</v>
      </c>
      <c r="H104" s="1"/>
    </row>
    <row r="105" spans="1:8" x14ac:dyDescent="0.25">
      <c r="B105" s="32" t="s">
        <v>5</v>
      </c>
      <c r="C105" s="32"/>
      <c r="D105" s="32"/>
      <c r="E105" s="32"/>
      <c r="F105" s="32"/>
      <c r="G105" s="1"/>
      <c r="H105" s="1">
        <v>4800</v>
      </c>
    </row>
    <row r="106" spans="1:8" x14ac:dyDescent="0.25">
      <c r="B106" s="29" t="s">
        <v>42</v>
      </c>
      <c r="C106" s="29"/>
      <c r="D106" s="29"/>
      <c r="E106" s="29"/>
      <c r="F106" s="29"/>
      <c r="G106" s="1"/>
      <c r="H106" s="1"/>
    </row>
    <row r="107" spans="1:8" x14ac:dyDescent="0.25">
      <c r="B107" s="29" t="s">
        <v>43</v>
      </c>
      <c r="C107" s="29"/>
      <c r="D107" s="29"/>
      <c r="E107" s="29"/>
      <c r="F107" s="29"/>
      <c r="G107" s="1"/>
      <c r="H107" s="1"/>
    </row>
    <row r="108" spans="1:8" x14ac:dyDescent="0.25">
      <c r="B108" s="29"/>
      <c r="C108" s="29"/>
      <c r="D108" s="29"/>
      <c r="E108" s="29"/>
      <c r="F108" s="29"/>
      <c r="G108" s="1"/>
      <c r="H108" s="1"/>
    </row>
    <row r="109" spans="1:8" x14ac:dyDescent="0.25">
      <c r="B109" s="29" t="s">
        <v>6</v>
      </c>
      <c r="C109" s="29"/>
      <c r="D109" s="29"/>
      <c r="E109" s="29"/>
      <c r="F109" s="29"/>
      <c r="G109" s="1"/>
      <c r="H109" s="1"/>
    </row>
    <row r="110" spans="1:8" x14ac:dyDescent="0.25">
      <c r="B110" s="29" t="str">
        <f>B102</f>
        <v>Dr Insurance Expense</v>
      </c>
      <c r="C110" s="29"/>
      <c r="D110" s="29"/>
      <c r="E110" s="29"/>
      <c r="F110" s="29"/>
      <c r="G110" s="1">
        <f>H105</f>
        <v>4800</v>
      </c>
      <c r="H110" s="1"/>
    </row>
    <row r="111" spans="1:8" x14ac:dyDescent="0.25">
      <c r="B111" s="32" t="str">
        <f>B105</f>
        <v>Cr Cash</v>
      </c>
      <c r="C111" s="32"/>
      <c r="D111" s="32"/>
      <c r="E111" s="32"/>
      <c r="F111" s="32"/>
      <c r="G111" s="1"/>
      <c r="H111" s="1">
        <f>G110</f>
        <v>4800</v>
      </c>
    </row>
    <row r="112" spans="1:8" x14ac:dyDescent="0.25">
      <c r="B112" s="29"/>
      <c r="C112" s="29"/>
      <c r="D112" s="29"/>
      <c r="E112" s="29"/>
      <c r="F112" s="29"/>
      <c r="G112" s="1"/>
      <c r="H112" s="1"/>
    </row>
    <row r="113" spans="1:8" x14ac:dyDescent="0.25">
      <c r="A113" s="2" t="s">
        <v>45</v>
      </c>
      <c r="B113" s="30" t="s">
        <v>7</v>
      </c>
      <c r="C113" s="30"/>
      <c r="D113" s="30"/>
      <c r="E113" s="30"/>
      <c r="F113" s="30"/>
      <c r="G113" s="3"/>
      <c r="H113" s="3"/>
    </row>
    <row r="114" spans="1:8" x14ac:dyDescent="0.25">
      <c r="A114" s="2"/>
      <c r="B114" s="30" t="str">
        <f>B103</f>
        <v>Dr W.I.P. (FOH - Insurance)</v>
      </c>
      <c r="C114" s="30"/>
      <c r="D114" s="30"/>
      <c r="E114" s="30"/>
      <c r="F114" s="30"/>
      <c r="G114" s="3">
        <f>G103</f>
        <v>200</v>
      </c>
      <c r="H114" s="3"/>
    </row>
    <row r="115" spans="1:8" x14ac:dyDescent="0.25">
      <c r="A115" s="2"/>
      <c r="B115" s="30" t="str">
        <f>B104</f>
        <v>Dr Prepaid Insurance</v>
      </c>
      <c r="C115" s="30"/>
      <c r="D115" s="30"/>
      <c r="E115" s="30"/>
      <c r="F115" s="30"/>
      <c r="G115" s="3">
        <f>G104</f>
        <v>4400</v>
      </c>
      <c r="H115" s="3"/>
    </row>
    <row r="116" spans="1:8" x14ac:dyDescent="0.25">
      <c r="A116" s="2"/>
      <c r="B116" s="31" t="s">
        <v>44</v>
      </c>
      <c r="C116" s="31"/>
      <c r="D116" s="31"/>
      <c r="E116" s="31"/>
      <c r="F116" s="31"/>
      <c r="G116" s="3"/>
      <c r="H116" s="3">
        <f>G115+G114</f>
        <v>4600</v>
      </c>
    </row>
    <row r="117" spans="1:8" x14ac:dyDescent="0.25">
      <c r="B117" s="29"/>
      <c r="C117" s="29"/>
      <c r="D117" s="29"/>
      <c r="E117" s="29"/>
      <c r="F117" s="29"/>
      <c r="G117" s="1"/>
      <c r="H117" s="1"/>
    </row>
    <row r="118" spans="1:8" x14ac:dyDescent="0.25">
      <c r="A118" s="2"/>
      <c r="B118" s="30" t="s">
        <v>7</v>
      </c>
      <c r="C118" s="30"/>
      <c r="D118" s="30"/>
      <c r="E118" s="30"/>
      <c r="F118" s="30"/>
      <c r="G118" s="3"/>
      <c r="H118" s="3"/>
    </row>
    <row r="119" spans="1:8" x14ac:dyDescent="0.25">
      <c r="A119" s="2" t="s">
        <v>46</v>
      </c>
      <c r="B119" s="30" t="s">
        <v>91</v>
      </c>
      <c r="C119" s="30"/>
      <c r="D119" s="30"/>
      <c r="E119" s="30"/>
      <c r="F119" s="30"/>
      <c r="G119" s="3">
        <f>154000/10*(1/12)</f>
        <v>1283.3333333333333</v>
      </c>
      <c r="H119" s="3"/>
    </row>
    <row r="120" spans="1:8" x14ac:dyDescent="0.25">
      <c r="A120" s="2"/>
      <c r="B120" s="31" t="s">
        <v>47</v>
      </c>
      <c r="C120" s="31"/>
      <c r="D120" s="31"/>
      <c r="E120" s="31"/>
      <c r="F120" s="31"/>
      <c r="G120" s="3"/>
      <c r="H120" s="3">
        <f>G119</f>
        <v>1283.3333333333333</v>
      </c>
    </row>
    <row r="121" spans="1:8" x14ac:dyDescent="0.25">
      <c r="A121" s="2"/>
      <c r="B121" s="30" t="s">
        <v>48</v>
      </c>
      <c r="C121" s="30"/>
      <c r="D121" s="30"/>
      <c r="E121" s="30"/>
      <c r="F121" s="30"/>
      <c r="G121" s="3"/>
      <c r="H121" s="3"/>
    </row>
    <row r="122" spans="1:8" x14ac:dyDescent="0.25">
      <c r="B122" s="29"/>
      <c r="C122" s="29"/>
      <c r="D122" s="29"/>
      <c r="E122" s="29"/>
      <c r="F122" s="29"/>
      <c r="G122" s="1"/>
      <c r="H122" s="1"/>
    </row>
    <row r="123" spans="1:8" x14ac:dyDescent="0.25">
      <c r="B123" s="29"/>
      <c r="C123" s="29"/>
      <c r="D123" s="29"/>
      <c r="E123" s="29"/>
      <c r="F123" s="29"/>
      <c r="G123" s="1"/>
      <c r="H123" s="1"/>
    </row>
    <row r="124" spans="1:8" x14ac:dyDescent="0.25">
      <c r="B124" s="29"/>
      <c r="C124" s="29"/>
      <c r="D124" s="29"/>
      <c r="E124" s="29"/>
      <c r="F124" s="29"/>
      <c r="G124" s="1"/>
      <c r="H124" s="1"/>
    </row>
    <row r="125" spans="1:8" x14ac:dyDescent="0.25">
      <c r="B125" s="29"/>
      <c r="C125" s="29"/>
      <c r="D125" s="29"/>
      <c r="E125" s="29"/>
      <c r="F125" s="29"/>
      <c r="G125" s="1"/>
      <c r="H125" s="1"/>
    </row>
    <row r="126" spans="1:8" x14ac:dyDescent="0.25">
      <c r="B126" s="29"/>
      <c r="C126" s="29"/>
      <c r="D126" s="29"/>
      <c r="E126" s="29"/>
      <c r="F126" s="29"/>
      <c r="G126" s="1"/>
      <c r="H126" s="1"/>
    </row>
    <row r="127" spans="1:8" x14ac:dyDescent="0.25">
      <c r="B127" s="29"/>
      <c r="C127" s="29"/>
      <c r="D127" s="29"/>
      <c r="E127" s="29"/>
      <c r="F127" s="29"/>
      <c r="G127" s="1"/>
      <c r="H127" s="1"/>
    </row>
    <row r="128" spans="1:8" x14ac:dyDescent="0.25">
      <c r="B128" s="29"/>
      <c r="C128" s="29"/>
      <c r="D128" s="29"/>
      <c r="E128" s="29"/>
      <c r="F128" s="29"/>
      <c r="G128" s="1"/>
      <c r="H128" s="1"/>
    </row>
    <row r="129" spans="1:8" x14ac:dyDescent="0.25">
      <c r="B129" s="29" t="s">
        <v>2</v>
      </c>
      <c r="C129" s="29"/>
      <c r="D129" s="29"/>
      <c r="E129" s="29"/>
      <c r="F129" s="29"/>
      <c r="G129" s="1"/>
      <c r="H129" s="1"/>
    </row>
    <row r="130" spans="1:8" x14ac:dyDescent="0.25">
      <c r="B130" s="29" t="s">
        <v>49</v>
      </c>
      <c r="C130" s="29"/>
      <c r="D130" s="29"/>
      <c r="E130" s="29"/>
      <c r="F130" s="29"/>
      <c r="G130" s="1">
        <f>30*3</f>
        <v>90</v>
      </c>
      <c r="H130" s="1"/>
    </row>
    <row r="131" spans="1:8" x14ac:dyDescent="0.25">
      <c r="B131" s="29" t="s">
        <v>50</v>
      </c>
      <c r="C131" s="29"/>
      <c r="D131" s="29"/>
      <c r="E131" s="29"/>
      <c r="F131" s="29"/>
      <c r="G131" s="1">
        <f>30*2</f>
        <v>60</v>
      </c>
      <c r="H131" s="1"/>
    </row>
    <row r="132" spans="1:8" x14ac:dyDescent="0.25">
      <c r="B132" s="29" t="s">
        <v>51</v>
      </c>
      <c r="C132" s="29"/>
      <c r="D132" s="29"/>
      <c r="E132" s="29"/>
      <c r="F132" s="29"/>
      <c r="G132" s="1">
        <f>H133*0.75</f>
        <v>450</v>
      </c>
      <c r="H132" s="1"/>
    </row>
    <row r="133" spans="1:8" x14ac:dyDescent="0.25">
      <c r="B133" s="32" t="s">
        <v>5</v>
      </c>
      <c r="C133" s="32"/>
      <c r="D133" s="32"/>
      <c r="E133" s="32"/>
      <c r="F133" s="32"/>
      <c r="G133" s="1"/>
      <c r="H133" s="1">
        <v>600</v>
      </c>
    </row>
    <row r="134" spans="1:8" x14ac:dyDescent="0.25">
      <c r="B134" s="29" t="s">
        <v>52</v>
      </c>
      <c r="C134" s="29"/>
      <c r="D134" s="29"/>
      <c r="E134" s="29"/>
      <c r="F134" s="29"/>
      <c r="G134" s="1"/>
      <c r="H134" s="1"/>
    </row>
    <row r="135" spans="1:8" x14ac:dyDescent="0.25">
      <c r="B135" s="29" t="s">
        <v>53</v>
      </c>
      <c r="C135" s="29"/>
      <c r="D135" s="29"/>
      <c r="E135" s="29"/>
      <c r="F135" s="29"/>
      <c r="G135" s="1"/>
      <c r="H135" s="1"/>
    </row>
    <row r="136" spans="1:8" x14ac:dyDescent="0.25">
      <c r="B136" s="29"/>
      <c r="C136" s="29"/>
      <c r="D136" s="29"/>
      <c r="E136" s="29"/>
      <c r="F136" s="29"/>
      <c r="G136" s="1"/>
      <c r="H136" s="1"/>
    </row>
    <row r="137" spans="1:8" x14ac:dyDescent="0.25">
      <c r="B137" s="29" t="s">
        <v>6</v>
      </c>
      <c r="C137" s="29"/>
      <c r="D137" s="29"/>
      <c r="E137" s="29"/>
      <c r="F137" s="29"/>
      <c r="G137" s="1"/>
      <c r="H137" s="1"/>
    </row>
    <row r="138" spans="1:8" x14ac:dyDescent="0.25">
      <c r="B138" s="29" t="str">
        <f>B132</f>
        <v>Dr Delivery Expense</v>
      </c>
      <c r="C138" s="29"/>
      <c r="D138" s="29"/>
      <c r="E138" s="29"/>
      <c r="F138" s="29"/>
      <c r="G138" s="1">
        <f>H133</f>
        <v>600</v>
      </c>
      <c r="H138" s="1"/>
    </row>
    <row r="139" spans="1:8" x14ac:dyDescent="0.25">
      <c r="B139" s="32" t="str">
        <f>B133</f>
        <v>Cr Cash</v>
      </c>
      <c r="C139" s="32"/>
      <c r="D139" s="32"/>
      <c r="E139" s="32"/>
      <c r="F139" s="32"/>
      <c r="G139" s="1"/>
      <c r="H139" s="1">
        <f>G138</f>
        <v>600</v>
      </c>
    </row>
    <row r="140" spans="1:8" x14ac:dyDescent="0.25">
      <c r="B140" s="29"/>
      <c r="C140" s="29"/>
      <c r="D140" s="29"/>
      <c r="E140" s="29"/>
      <c r="F140" s="29"/>
      <c r="G140" s="1"/>
      <c r="H140" s="1"/>
    </row>
    <row r="141" spans="1:8" x14ac:dyDescent="0.25">
      <c r="B141" s="30" t="s">
        <v>7</v>
      </c>
      <c r="C141" s="30"/>
      <c r="D141" s="30"/>
      <c r="E141" s="30"/>
      <c r="F141" s="30"/>
      <c r="G141" s="3"/>
      <c r="H141" s="3"/>
    </row>
    <row r="142" spans="1:8" x14ac:dyDescent="0.25">
      <c r="A142" s="2" t="s">
        <v>56</v>
      </c>
      <c r="B142" s="30" t="str">
        <f>B130</f>
        <v>Dr Raw Materials - Resin</v>
      </c>
      <c r="C142" s="30"/>
      <c r="D142" s="30"/>
      <c r="E142" s="30"/>
      <c r="F142" s="30"/>
      <c r="G142" s="3">
        <f>G130</f>
        <v>90</v>
      </c>
      <c r="H142" s="3"/>
    </row>
    <row r="143" spans="1:8" x14ac:dyDescent="0.25">
      <c r="B143" s="30" t="str">
        <f>B131</f>
        <v>Dr Raw Materials - Boxes</v>
      </c>
      <c r="C143" s="30"/>
      <c r="D143" s="30"/>
      <c r="E143" s="30"/>
      <c r="F143" s="30"/>
      <c r="G143" s="3">
        <f>G131</f>
        <v>60</v>
      </c>
      <c r="H143" s="3"/>
    </row>
    <row r="144" spans="1:8" x14ac:dyDescent="0.25">
      <c r="B144" s="31" t="s">
        <v>54</v>
      </c>
      <c r="C144" s="31"/>
      <c r="D144" s="31"/>
      <c r="E144" s="31"/>
      <c r="F144" s="31"/>
      <c r="G144" s="3"/>
      <c r="H144" s="3">
        <f>G142+G143</f>
        <v>150</v>
      </c>
    </row>
    <row r="145" spans="1:8" x14ac:dyDescent="0.25">
      <c r="B145" s="29"/>
      <c r="C145" s="29"/>
      <c r="D145" s="29"/>
      <c r="E145" s="29"/>
      <c r="F145" s="29"/>
      <c r="G145" s="1"/>
      <c r="H145" s="1"/>
    </row>
    <row r="146" spans="1:8" x14ac:dyDescent="0.25">
      <c r="B146" s="28" t="s">
        <v>55</v>
      </c>
      <c r="C146" s="28"/>
      <c r="D146" s="28"/>
      <c r="E146" s="28"/>
      <c r="F146" s="28"/>
      <c r="G146" s="36" t="s">
        <v>57</v>
      </c>
      <c r="H146" s="36"/>
    </row>
    <row r="147" spans="1:8" x14ac:dyDescent="0.25">
      <c r="B147" s="34"/>
      <c r="C147" s="34"/>
      <c r="D147" s="34"/>
      <c r="E147" s="4"/>
      <c r="F147" s="4"/>
      <c r="G147" s="6">
        <v>92900</v>
      </c>
      <c r="H147" s="5" t="s">
        <v>58</v>
      </c>
    </row>
    <row r="148" spans="1:8" x14ac:dyDescent="0.25">
      <c r="A148" s="2" t="s">
        <v>59</v>
      </c>
      <c r="B148" s="30" t="s">
        <v>60</v>
      </c>
      <c r="C148" s="30"/>
      <c r="D148" s="30"/>
      <c r="E148" s="13">
        <f>H150</f>
        <v>38876.485999999997</v>
      </c>
      <c r="F148" s="14"/>
      <c r="G148" s="8">
        <f>G142</f>
        <v>90</v>
      </c>
      <c r="H148" s="9" t="str">
        <f>A142</f>
        <v>9.)</v>
      </c>
    </row>
    <row r="149" spans="1:8" x14ac:dyDescent="0.25">
      <c r="A149" s="2"/>
      <c r="B149" s="31" t="s">
        <v>61</v>
      </c>
      <c r="C149" s="31"/>
      <c r="D149" s="31"/>
      <c r="E149" s="14"/>
      <c r="F149" s="13">
        <f>E148</f>
        <v>38876.485999999997</v>
      </c>
      <c r="G149" s="7">
        <f>G147+G148</f>
        <v>92990</v>
      </c>
      <c r="H149" s="1" t="s">
        <v>62</v>
      </c>
    </row>
    <row r="150" spans="1:8" x14ac:dyDescent="0.25">
      <c r="B150" s="29"/>
      <c r="C150" s="29"/>
      <c r="D150" s="29"/>
      <c r="E150" s="10"/>
      <c r="F150" s="10"/>
      <c r="G150" s="8" t="s">
        <v>70</v>
      </c>
      <c r="H150" s="9">
        <f>G149-G151</f>
        <v>38876.485999999997</v>
      </c>
    </row>
    <row r="151" spans="1:8" x14ac:dyDescent="0.25">
      <c r="B151" s="29" t="s">
        <v>63</v>
      </c>
      <c r="C151" s="29"/>
      <c r="D151" s="29"/>
      <c r="E151" s="10"/>
      <c r="F151" s="10"/>
      <c r="G151" s="7">
        <f>F157</f>
        <v>54113.514000000003</v>
      </c>
      <c r="H151" s="1" t="s">
        <v>69</v>
      </c>
    </row>
    <row r="152" spans="1:8" x14ac:dyDescent="0.25">
      <c r="B152" s="29" t="s">
        <v>76</v>
      </c>
      <c r="C152" s="29"/>
      <c r="D152" s="29"/>
      <c r="E152" s="10">
        <v>22338</v>
      </c>
      <c r="F152" s="10"/>
      <c r="G152" s="15"/>
      <c r="H152" s="1"/>
    </row>
    <row r="153" spans="1:8" x14ac:dyDescent="0.25">
      <c r="B153" s="35" t="s">
        <v>65</v>
      </c>
      <c r="C153" s="29"/>
      <c r="D153" s="29"/>
      <c r="F153" s="10">
        <f>50400+30</f>
        <v>50430</v>
      </c>
      <c r="G153" s="1"/>
      <c r="H153" s="1"/>
    </row>
    <row r="154" spans="1:8" x14ac:dyDescent="0.25">
      <c r="B154" s="29" t="s">
        <v>64</v>
      </c>
      <c r="C154" s="29"/>
      <c r="D154" s="29"/>
      <c r="E154" s="10">
        <f>E152-21000</f>
        <v>1338</v>
      </c>
      <c r="F154" s="10"/>
      <c r="G154" s="1"/>
      <c r="H154" s="1"/>
    </row>
    <row r="155" spans="1:8" x14ac:dyDescent="0.25">
      <c r="B155" s="29" t="s">
        <v>66</v>
      </c>
      <c r="C155" s="29"/>
      <c r="D155" s="29"/>
      <c r="E155" s="11">
        <f>27530/10000</f>
        <v>2.7530000000000001</v>
      </c>
      <c r="F155" s="10"/>
      <c r="G155" s="1"/>
      <c r="H155" s="1"/>
    </row>
    <row r="156" spans="1:8" x14ac:dyDescent="0.25">
      <c r="B156" s="32" t="s">
        <v>67</v>
      </c>
      <c r="C156" s="32"/>
      <c r="D156" s="32"/>
      <c r="E156" s="10"/>
      <c r="F156" s="12">
        <f>E154*E155</f>
        <v>3683.5140000000001</v>
      </c>
      <c r="G156" s="1"/>
      <c r="H156" s="1"/>
    </row>
    <row r="157" spans="1:8" x14ac:dyDescent="0.25">
      <c r="B157" s="29" t="s">
        <v>68</v>
      </c>
      <c r="C157" s="29"/>
      <c r="D157" s="29"/>
      <c r="E157" s="10"/>
      <c r="F157" s="10">
        <f>F153+F156</f>
        <v>54113.514000000003</v>
      </c>
      <c r="G157" s="1"/>
      <c r="H157" s="1"/>
    </row>
    <row r="158" spans="1:8" x14ac:dyDescent="0.25">
      <c r="B158" s="29"/>
      <c r="C158" s="29"/>
      <c r="D158" s="29"/>
      <c r="E158" s="10"/>
      <c r="F158" s="10"/>
      <c r="G158" s="1"/>
      <c r="H158" s="1"/>
    </row>
    <row r="159" spans="1:8" x14ac:dyDescent="0.25">
      <c r="B159" s="28" t="s">
        <v>71</v>
      </c>
      <c r="C159" s="28"/>
      <c r="D159" s="28"/>
      <c r="E159" s="10"/>
      <c r="F159" s="10"/>
      <c r="G159" s="36" t="s">
        <v>75</v>
      </c>
      <c r="H159" s="36"/>
    </row>
    <row r="160" spans="1:8" x14ac:dyDescent="0.25">
      <c r="B160" s="29"/>
      <c r="C160" s="29"/>
      <c r="D160" s="29"/>
      <c r="E160" s="10"/>
      <c r="F160" s="10"/>
      <c r="G160" s="6">
        <v>1920</v>
      </c>
      <c r="H160" s="5" t="s">
        <v>58</v>
      </c>
    </row>
    <row r="161" spans="1:8" x14ac:dyDescent="0.25">
      <c r="A161" s="2" t="s">
        <v>72</v>
      </c>
      <c r="B161" s="30" t="s">
        <v>73</v>
      </c>
      <c r="C161" s="30"/>
      <c r="D161" s="30"/>
      <c r="E161" s="16">
        <f>H163</f>
        <v>627.81999999999994</v>
      </c>
      <c r="F161" s="16"/>
      <c r="G161" s="8">
        <f>G143</f>
        <v>60</v>
      </c>
      <c r="H161" s="9" t="str">
        <f>A142</f>
        <v>9.)</v>
      </c>
    </row>
    <row r="162" spans="1:8" x14ac:dyDescent="0.25">
      <c r="A162" s="2"/>
      <c r="B162" s="31" t="s">
        <v>74</v>
      </c>
      <c r="C162" s="31"/>
      <c r="D162" s="31"/>
      <c r="E162" s="16"/>
      <c r="F162" s="16">
        <f>H163</f>
        <v>627.81999999999994</v>
      </c>
      <c r="G162" s="7">
        <f>G160+G161</f>
        <v>1980</v>
      </c>
      <c r="H162" s="1" t="s">
        <v>62</v>
      </c>
    </row>
    <row r="163" spans="1:8" x14ac:dyDescent="0.25">
      <c r="B163" s="29"/>
      <c r="C163" s="29"/>
      <c r="D163" s="29"/>
      <c r="E163" s="10"/>
      <c r="F163" s="10"/>
      <c r="G163" s="8" t="s">
        <v>70</v>
      </c>
      <c r="H163" s="9">
        <f>G162-G164</f>
        <v>627.81999999999994</v>
      </c>
    </row>
    <row r="164" spans="1:8" x14ac:dyDescent="0.25">
      <c r="B164" s="29"/>
      <c r="C164" s="29"/>
      <c r="D164" s="29"/>
      <c r="E164" s="10"/>
      <c r="F164" s="10"/>
      <c r="G164" s="7">
        <f>F168</f>
        <v>1352.18</v>
      </c>
      <c r="H164" s="1" t="s">
        <v>69</v>
      </c>
    </row>
    <row r="165" spans="1:8" x14ac:dyDescent="0.25">
      <c r="B165" s="29" t="s">
        <v>63</v>
      </c>
      <c r="C165" s="29"/>
      <c r="D165" s="29"/>
      <c r="E165" s="10"/>
      <c r="F165" s="10"/>
      <c r="G165" s="1"/>
      <c r="H165" s="1"/>
    </row>
    <row r="166" spans="1:8" x14ac:dyDescent="0.25">
      <c r="B166" s="29" t="s">
        <v>76</v>
      </c>
      <c r="C166" s="29"/>
      <c r="D166" s="29"/>
      <c r="E166" s="10">
        <v>3485</v>
      </c>
      <c r="F166" s="10"/>
      <c r="G166" s="1"/>
      <c r="H166" s="1"/>
    </row>
    <row r="167" spans="1:8" x14ac:dyDescent="0.25">
      <c r="B167" s="29" t="s">
        <v>77</v>
      </c>
      <c r="C167" s="29"/>
      <c r="D167" s="29"/>
      <c r="E167" s="11">
        <f>(1522+30)/4000</f>
        <v>0.38800000000000001</v>
      </c>
      <c r="F167" s="10"/>
      <c r="G167" s="1"/>
      <c r="H167" s="1"/>
    </row>
    <row r="168" spans="1:8" x14ac:dyDescent="0.25">
      <c r="B168" s="32" t="s">
        <v>67</v>
      </c>
      <c r="C168" s="32"/>
      <c r="D168" s="32"/>
      <c r="E168" s="10"/>
      <c r="F168" s="12">
        <f>E166*E167</f>
        <v>1352.18</v>
      </c>
      <c r="G168" s="1"/>
      <c r="H168" s="1"/>
    </row>
    <row r="169" spans="1:8" x14ac:dyDescent="0.25">
      <c r="B169" s="29" t="s">
        <v>68</v>
      </c>
      <c r="C169" s="29"/>
      <c r="D169" s="29"/>
      <c r="E169" s="10"/>
      <c r="F169" s="10">
        <f>F168</f>
        <v>1352.18</v>
      </c>
      <c r="G169" s="1"/>
      <c r="H169" s="1"/>
    </row>
    <row r="170" spans="1:8" x14ac:dyDescent="0.25">
      <c r="B170" s="29"/>
      <c r="C170" s="29"/>
      <c r="D170" s="29"/>
      <c r="E170" s="10"/>
      <c r="F170" s="10"/>
      <c r="G170" s="1"/>
      <c r="H170" s="1"/>
    </row>
    <row r="171" spans="1:8" x14ac:dyDescent="0.25">
      <c r="B171" s="29"/>
      <c r="C171" s="29"/>
      <c r="D171" s="29"/>
      <c r="E171" s="10"/>
      <c r="F171" s="10"/>
      <c r="G171" s="1"/>
      <c r="H171" s="1"/>
    </row>
    <row r="172" spans="1:8" x14ac:dyDescent="0.25">
      <c r="B172" s="28" t="s">
        <v>78</v>
      </c>
      <c r="C172" s="28"/>
      <c r="D172" s="28"/>
      <c r="G172" s="36" t="s">
        <v>82</v>
      </c>
      <c r="H172" s="36"/>
    </row>
    <row r="173" spans="1:8" x14ac:dyDescent="0.25">
      <c r="B173" s="29"/>
      <c r="C173" s="29"/>
      <c r="D173" s="29"/>
      <c r="G173" s="18">
        <f>G15</f>
        <v>2900</v>
      </c>
      <c r="H173" t="s">
        <v>83</v>
      </c>
    </row>
    <row r="174" spans="1:8" x14ac:dyDescent="0.25">
      <c r="A174" s="2" t="s">
        <v>79</v>
      </c>
      <c r="B174" s="30" t="s">
        <v>80</v>
      </c>
      <c r="C174" s="30"/>
      <c r="D174" s="30"/>
      <c r="E174" s="26">
        <f>H184</f>
        <v>60663.556360750357</v>
      </c>
      <c r="F174" s="2"/>
      <c r="G174" s="19">
        <f>G28</f>
        <v>2400</v>
      </c>
      <c r="H174" t="s">
        <v>84</v>
      </c>
    </row>
    <row r="175" spans="1:8" x14ac:dyDescent="0.25">
      <c r="A175" s="2"/>
      <c r="B175" s="31" t="s">
        <v>81</v>
      </c>
      <c r="C175" s="31"/>
      <c r="D175" s="31"/>
      <c r="E175" s="2"/>
      <c r="F175" s="26">
        <f>E174</f>
        <v>60663.556360750357</v>
      </c>
      <c r="G175" s="19">
        <f>G44</f>
        <v>10626</v>
      </c>
      <c r="H175" t="s">
        <v>85</v>
      </c>
    </row>
    <row r="176" spans="1:8" x14ac:dyDescent="0.25">
      <c r="B176" s="29"/>
      <c r="C176" s="29"/>
      <c r="D176" s="29"/>
      <c r="G176" s="19">
        <f>G60</f>
        <v>425</v>
      </c>
      <c r="H176" t="s">
        <v>86</v>
      </c>
    </row>
    <row r="177" spans="1:8" x14ac:dyDescent="0.25">
      <c r="B177" s="29" t="s">
        <v>94</v>
      </c>
      <c r="C177" s="29"/>
      <c r="D177" s="29"/>
      <c r="E177" s="23">
        <f>G173+G174+G176+G177+G178+G179+G180</f>
        <v>10664.333333333334</v>
      </c>
      <c r="G177" s="19">
        <f>G80</f>
        <v>2052</v>
      </c>
      <c r="H177" t="s">
        <v>87</v>
      </c>
    </row>
    <row r="178" spans="1:8" x14ac:dyDescent="0.25">
      <c r="B178" s="29" t="s">
        <v>95</v>
      </c>
      <c r="C178" s="29"/>
      <c r="D178" s="29"/>
      <c r="E178" s="23">
        <f>G175</f>
        <v>10626</v>
      </c>
      <c r="G178" s="19">
        <f>G98</f>
        <v>1404</v>
      </c>
      <c r="H178" t="s">
        <v>88</v>
      </c>
    </row>
    <row r="179" spans="1:8" x14ac:dyDescent="0.25">
      <c r="B179" s="29" t="s">
        <v>96</v>
      </c>
      <c r="C179" s="29"/>
      <c r="D179" s="29"/>
      <c r="F179" s="15">
        <v>23</v>
      </c>
      <c r="G179" s="19">
        <f>G114</f>
        <v>200</v>
      </c>
      <c r="H179" t="s">
        <v>89</v>
      </c>
    </row>
    <row r="180" spans="1:8" x14ac:dyDescent="0.25">
      <c r="B180" s="29" t="s">
        <v>97</v>
      </c>
      <c r="C180" s="29"/>
      <c r="D180" s="29"/>
      <c r="F180" s="15">
        <v>85</v>
      </c>
      <c r="G180" s="19">
        <f>G119</f>
        <v>1283.3333333333333</v>
      </c>
      <c r="H180" t="s">
        <v>90</v>
      </c>
    </row>
    <row r="181" spans="1:8" x14ac:dyDescent="0.25">
      <c r="B181" s="29" t="s">
        <v>98</v>
      </c>
      <c r="C181" s="29"/>
      <c r="D181" s="29"/>
      <c r="F181" s="9">
        <f>E177*(F179/E178)</f>
        <v>23.082972582972584</v>
      </c>
      <c r="G181" s="19">
        <f>E148</f>
        <v>38876.485999999997</v>
      </c>
      <c r="H181" t="s">
        <v>92</v>
      </c>
    </row>
    <row r="182" spans="1:8" x14ac:dyDescent="0.25">
      <c r="B182" s="29" t="s">
        <v>99</v>
      </c>
      <c r="C182" s="29"/>
      <c r="D182" s="29"/>
      <c r="F182" s="23">
        <f>SUM(F179:F181)</f>
        <v>131.08297258297259</v>
      </c>
      <c r="G182" s="20">
        <f>E161</f>
        <v>627.81999999999994</v>
      </c>
      <c r="H182" s="21" t="s">
        <v>93</v>
      </c>
    </row>
    <row r="183" spans="1:8" x14ac:dyDescent="0.25">
      <c r="B183" s="29"/>
      <c r="C183" s="29"/>
      <c r="D183" s="29"/>
      <c r="G183" s="19">
        <f>SUM(G173:G182)</f>
        <v>60794.639333333333</v>
      </c>
      <c r="H183" s="22" t="s">
        <v>62</v>
      </c>
    </row>
    <row r="184" spans="1:8" x14ac:dyDescent="0.25">
      <c r="B184" s="29"/>
      <c r="C184" s="29"/>
      <c r="D184" s="29"/>
      <c r="G184" s="24" t="s">
        <v>100</v>
      </c>
      <c r="H184" s="25">
        <f>G183-G185</f>
        <v>60663.556360750357</v>
      </c>
    </row>
    <row r="185" spans="1:8" x14ac:dyDescent="0.25">
      <c r="B185" s="29"/>
      <c r="C185" s="29"/>
      <c r="D185" s="29"/>
      <c r="G185" s="19">
        <f>F182</f>
        <v>131.08297258297259</v>
      </c>
      <c r="H185" t="s">
        <v>69</v>
      </c>
    </row>
    <row r="186" spans="1:8" x14ac:dyDescent="0.25">
      <c r="B186" s="29"/>
      <c r="C186" s="29"/>
      <c r="D186" s="29"/>
      <c r="G186" s="17"/>
    </row>
    <row r="187" spans="1:8" x14ac:dyDescent="0.25">
      <c r="B187" s="29"/>
      <c r="C187" s="29"/>
      <c r="D187" s="29"/>
    </row>
    <row r="188" spans="1:8" x14ac:dyDescent="0.25">
      <c r="B188" s="28" t="s">
        <v>101</v>
      </c>
      <c r="C188" s="28"/>
      <c r="D188" s="28"/>
      <c r="G188" s="36" t="s">
        <v>105</v>
      </c>
      <c r="H188" s="36"/>
    </row>
    <row r="189" spans="1:8" x14ac:dyDescent="0.25">
      <c r="B189" s="29"/>
      <c r="C189" s="29"/>
      <c r="D189" s="29"/>
      <c r="G189" s="18">
        <f>E174</f>
        <v>60663.556360750357</v>
      </c>
      <c r="H189" t="str">
        <f>A174</f>
        <v>12.)</v>
      </c>
    </row>
    <row r="190" spans="1:8" x14ac:dyDescent="0.25">
      <c r="A190" s="2" t="s">
        <v>102</v>
      </c>
      <c r="B190" s="30" t="s">
        <v>103</v>
      </c>
      <c r="C190" s="30"/>
      <c r="D190" s="30"/>
      <c r="E190" s="26">
        <f>H190</f>
        <v>55163.393917375659</v>
      </c>
      <c r="F190" s="2"/>
      <c r="G190" s="20" t="s">
        <v>106</v>
      </c>
      <c r="H190" s="25">
        <f>G189-G191</f>
        <v>55163.393917375659</v>
      </c>
    </row>
    <row r="191" spans="1:8" x14ac:dyDescent="0.25">
      <c r="A191" s="2"/>
      <c r="B191" s="31" t="s">
        <v>104</v>
      </c>
      <c r="C191" s="31"/>
      <c r="D191" s="31"/>
      <c r="E191" s="2"/>
      <c r="F191" s="26">
        <f>E190</f>
        <v>55163.393917375659</v>
      </c>
      <c r="G191" s="19">
        <f>E197</f>
        <v>5500.1624433746993</v>
      </c>
      <c r="H191" t="s">
        <v>69</v>
      </c>
    </row>
    <row r="192" spans="1:8" x14ac:dyDescent="0.25">
      <c r="B192" s="29"/>
      <c r="C192" s="29"/>
      <c r="D192" s="29"/>
    </row>
    <row r="193" spans="2:5" x14ac:dyDescent="0.25">
      <c r="B193" s="29" t="s">
        <v>107</v>
      </c>
      <c r="C193" s="29"/>
      <c r="D193" s="29"/>
      <c r="E193" s="1">
        <f>G189</f>
        <v>60663.556360750357</v>
      </c>
    </row>
    <row r="194" spans="2:5" x14ac:dyDescent="0.25">
      <c r="B194" s="29" t="s">
        <v>108</v>
      </c>
      <c r="C194" s="29"/>
      <c r="D194" s="29"/>
      <c r="E194" s="9">
        <v>1500</v>
      </c>
    </row>
    <row r="195" spans="2:5" x14ac:dyDescent="0.25">
      <c r="B195" s="29" t="s">
        <v>109</v>
      </c>
      <c r="C195" s="29"/>
      <c r="D195" s="29"/>
      <c r="E195" s="1">
        <f>E193/E194</f>
        <v>40.442370907166904</v>
      </c>
    </row>
    <row r="196" spans="2:5" x14ac:dyDescent="0.25">
      <c r="B196" s="29" t="s">
        <v>110</v>
      </c>
      <c r="C196" s="29"/>
      <c r="D196" s="29"/>
      <c r="E196" s="9">
        <v>136</v>
      </c>
    </row>
    <row r="197" spans="2:5" x14ac:dyDescent="0.25">
      <c r="B197" s="29" t="s">
        <v>111</v>
      </c>
      <c r="C197" s="29"/>
      <c r="D197" s="29"/>
      <c r="E197" s="1">
        <f>E195*E196</f>
        <v>5500.1624433746993</v>
      </c>
    </row>
    <row r="198" spans="2:5" x14ac:dyDescent="0.25">
      <c r="B198" s="29"/>
      <c r="C198" s="29"/>
      <c r="D198" s="29"/>
    </row>
    <row r="199" spans="2:5" x14ac:dyDescent="0.25">
      <c r="B199" s="29"/>
      <c r="C199" s="29"/>
      <c r="D199" s="29"/>
    </row>
    <row r="200" spans="2:5" x14ac:dyDescent="0.25">
      <c r="B200" s="29"/>
      <c r="C200" s="29"/>
      <c r="D200" s="29"/>
    </row>
    <row r="201" spans="2:5" x14ac:dyDescent="0.25">
      <c r="B201" s="29"/>
      <c r="C201" s="29"/>
      <c r="D201" s="29"/>
    </row>
    <row r="202" spans="2:5" x14ac:dyDescent="0.25">
      <c r="B202" s="29"/>
      <c r="C202" s="29"/>
      <c r="D202" s="29"/>
    </row>
    <row r="203" spans="2:5" x14ac:dyDescent="0.25">
      <c r="B203" s="29"/>
      <c r="C203" s="29"/>
      <c r="D203" s="29"/>
    </row>
    <row r="204" spans="2:5" x14ac:dyDescent="0.25">
      <c r="B204" s="29"/>
      <c r="C204" s="29"/>
      <c r="D204" s="29"/>
    </row>
    <row r="205" spans="2:5" x14ac:dyDescent="0.25">
      <c r="B205" s="29"/>
      <c r="C205" s="29"/>
      <c r="D205" s="29"/>
    </row>
    <row r="206" spans="2:5" x14ac:dyDescent="0.25">
      <c r="B206" s="29"/>
      <c r="C206" s="29"/>
      <c r="D206" s="29"/>
    </row>
    <row r="207" spans="2:5" x14ac:dyDescent="0.25">
      <c r="B207" s="29"/>
      <c r="C207" s="29"/>
      <c r="D207" s="29"/>
    </row>
    <row r="208" spans="2:5" x14ac:dyDescent="0.25">
      <c r="B208" s="29"/>
      <c r="C208" s="29"/>
      <c r="D208" s="29"/>
    </row>
    <row r="209" spans="2:4" x14ac:dyDescent="0.25">
      <c r="B209" s="29"/>
      <c r="C209" s="29"/>
      <c r="D209" s="29"/>
    </row>
    <row r="210" spans="2:4" x14ac:dyDescent="0.25">
      <c r="B210" s="29"/>
      <c r="C210" s="29"/>
      <c r="D210" s="29"/>
    </row>
    <row r="211" spans="2:4" x14ac:dyDescent="0.25">
      <c r="B211" s="29"/>
      <c r="C211" s="29"/>
      <c r="D211" s="29"/>
    </row>
    <row r="212" spans="2:4" x14ac:dyDescent="0.25">
      <c r="B212" s="29"/>
      <c r="C212" s="29"/>
      <c r="D212" s="29"/>
    </row>
    <row r="213" spans="2:4" x14ac:dyDescent="0.25">
      <c r="B213" s="29"/>
      <c r="C213" s="29"/>
      <c r="D213" s="29"/>
    </row>
    <row r="214" spans="2:4" x14ac:dyDescent="0.25">
      <c r="B214" s="29"/>
      <c r="C214" s="29"/>
      <c r="D214" s="29"/>
    </row>
  </sheetData>
  <mergeCells count="218">
    <mergeCell ref="B211:D211"/>
    <mergeCell ref="B212:D212"/>
    <mergeCell ref="B213:D213"/>
    <mergeCell ref="B214:D214"/>
    <mergeCell ref="G146:H146"/>
    <mergeCell ref="G159:H159"/>
    <mergeCell ref="B152:D152"/>
    <mergeCell ref="G172:H172"/>
    <mergeCell ref="G188:H188"/>
    <mergeCell ref="B205:D205"/>
    <mergeCell ref="B206:D206"/>
    <mergeCell ref="B207:D207"/>
    <mergeCell ref="B208:D208"/>
    <mergeCell ref="B209:D209"/>
    <mergeCell ref="B210:D210"/>
    <mergeCell ref="B199:D199"/>
    <mergeCell ref="B200:D200"/>
    <mergeCell ref="B201:D201"/>
    <mergeCell ref="B202:D202"/>
    <mergeCell ref="B203:D203"/>
    <mergeCell ref="B204:D204"/>
    <mergeCell ref="B193:D193"/>
    <mergeCell ref="B194:D194"/>
    <mergeCell ref="B195:D195"/>
    <mergeCell ref="B196:D196"/>
    <mergeCell ref="B197:D197"/>
    <mergeCell ref="B198:D198"/>
    <mergeCell ref="B187:D187"/>
    <mergeCell ref="B188:D188"/>
    <mergeCell ref="B189:D189"/>
    <mergeCell ref="B190:D190"/>
    <mergeCell ref="B191:D191"/>
    <mergeCell ref="B192:D192"/>
    <mergeCell ref="B181:D181"/>
    <mergeCell ref="B182:D182"/>
    <mergeCell ref="B183:D183"/>
    <mergeCell ref="B184:D184"/>
    <mergeCell ref="B185:D185"/>
    <mergeCell ref="B186:D186"/>
    <mergeCell ref="B175:D175"/>
    <mergeCell ref="B176:D176"/>
    <mergeCell ref="B177:D177"/>
    <mergeCell ref="B178:D178"/>
    <mergeCell ref="B179:D179"/>
    <mergeCell ref="B180:D180"/>
    <mergeCell ref="B169:D169"/>
    <mergeCell ref="B170:D170"/>
    <mergeCell ref="B171:D171"/>
    <mergeCell ref="B172:D172"/>
    <mergeCell ref="B173:D173"/>
    <mergeCell ref="B174:D174"/>
    <mergeCell ref="B162:D162"/>
    <mergeCell ref="B163:D163"/>
    <mergeCell ref="B164:D164"/>
    <mergeCell ref="B165:D165"/>
    <mergeCell ref="B166:D166"/>
    <mergeCell ref="A1:H1"/>
    <mergeCell ref="B147:D147"/>
    <mergeCell ref="B148:D148"/>
    <mergeCell ref="B149:D149"/>
    <mergeCell ref="B150:D150"/>
    <mergeCell ref="B151:D151"/>
    <mergeCell ref="B153:D153"/>
    <mergeCell ref="B167:D167"/>
    <mergeCell ref="B168:D168"/>
    <mergeCell ref="B158:D158"/>
    <mergeCell ref="B159:D159"/>
    <mergeCell ref="B160:D160"/>
    <mergeCell ref="B161:D161"/>
    <mergeCell ref="B154:D154"/>
    <mergeCell ref="B155:D155"/>
    <mergeCell ref="B156:D156"/>
    <mergeCell ref="B157:D157"/>
    <mergeCell ref="B145:F145"/>
    <mergeCell ref="B146:F146"/>
    <mergeCell ref="B139:F139"/>
    <mergeCell ref="B140:F140"/>
    <mergeCell ref="B141:F141"/>
    <mergeCell ref="B142:F142"/>
    <mergeCell ref="B143:F143"/>
    <mergeCell ref="B144:F144"/>
    <mergeCell ref="B133:F133"/>
    <mergeCell ref="B134:F134"/>
    <mergeCell ref="B135:F135"/>
    <mergeCell ref="B136:F136"/>
    <mergeCell ref="B137:F137"/>
    <mergeCell ref="B138:F138"/>
    <mergeCell ref="B127:F127"/>
    <mergeCell ref="B128:F128"/>
    <mergeCell ref="B129:F129"/>
    <mergeCell ref="B130:F130"/>
    <mergeCell ref="B131:F131"/>
    <mergeCell ref="B132:F132"/>
    <mergeCell ref="B121:F121"/>
    <mergeCell ref="B122:F122"/>
    <mergeCell ref="B123:F123"/>
    <mergeCell ref="B124:F124"/>
    <mergeCell ref="B125:F125"/>
    <mergeCell ref="B126:F126"/>
    <mergeCell ref="B115:F115"/>
    <mergeCell ref="B116:F116"/>
    <mergeCell ref="B117:F117"/>
    <mergeCell ref="B118:F118"/>
    <mergeCell ref="B119:F119"/>
    <mergeCell ref="B120:F120"/>
    <mergeCell ref="B109:F109"/>
    <mergeCell ref="B110:F110"/>
    <mergeCell ref="B111:F111"/>
    <mergeCell ref="B112:F112"/>
    <mergeCell ref="B113:F113"/>
    <mergeCell ref="B114:F114"/>
    <mergeCell ref="B103:F103"/>
    <mergeCell ref="B104:F104"/>
    <mergeCell ref="B105:F105"/>
    <mergeCell ref="B106:F106"/>
    <mergeCell ref="B107:F107"/>
    <mergeCell ref="B108:F108"/>
    <mergeCell ref="B97:F97"/>
    <mergeCell ref="B98:F98"/>
    <mergeCell ref="B99:F99"/>
    <mergeCell ref="B100:F100"/>
    <mergeCell ref="B101:F101"/>
    <mergeCell ref="B102:F102"/>
    <mergeCell ref="B91:F91"/>
    <mergeCell ref="B92:F92"/>
    <mergeCell ref="B93:F93"/>
    <mergeCell ref="B94:F94"/>
    <mergeCell ref="B95:F95"/>
    <mergeCell ref="B96:F96"/>
    <mergeCell ref="B85:F85"/>
    <mergeCell ref="B86:F86"/>
    <mergeCell ref="B87:F87"/>
    <mergeCell ref="B88:F88"/>
    <mergeCell ref="B89:F89"/>
    <mergeCell ref="B90:F90"/>
    <mergeCell ref="B79:F79"/>
    <mergeCell ref="B80:F80"/>
    <mergeCell ref="B81:F81"/>
    <mergeCell ref="B82:F82"/>
    <mergeCell ref="B83:F83"/>
    <mergeCell ref="B84:F84"/>
    <mergeCell ref="B73:F73"/>
    <mergeCell ref="B74:F74"/>
    <mergeCell ref="B75:F75"/>
    <mergeCell ref="B76:F76"/>
    <mergeCell ref="B77:F77"/>
    <mergeCell ref="B78:F78"/>
    <mergeCell ref="B67:F67"/>
    <mergeCell ref="B68:F68"/>
    <mergeCell ref="B69:F69"/>
    <mergeCell ref="B70:F70"/>
    <mergeCell ref="B71:F71"/>
    <mergeCell ref="B72:F72"/>
    <mergeCell ref="B61:F61"/>
    <mergeCell ref="B62:F62"/>
    <mergeCell ref="B63:F63"/>
    <mergeCell ref="B64:F64"/>
    <mergeCell ref="B65:F65"/>
    <mergeCell ref="B66:F66"/>
    <mergeCell ref="B55:F55"/>
    <mergeCell ref="B56:F56"/>
    <mergeCell ref="B57:F57"/>
    <mergeCell ref="B58:F58"/>
    <mergeCell ref="B59:F59"/>
    <mergeCell ref="B60:F60"/>
    <mergeCell ref="B49:F49"/>
    <mergeCell ref="B50:F50"/>
    <mergeCell ref="B51:F51"/>
    <mergeCell ref="B52:F52"/>
    <mergeCell ref="B53:F53"/>
    <mergeCell ref="B54:F54"/>
    <mergeCell ref="B43:F43"/>
    <mergeCell ref="B44:F44"/>
    <mergeCell ref="B45:F45"/>
    <mergeCell ref="B46:F46"/>
    <mergeCell ref="B47:F47"/>
    <mergeCell ref="B48:F48"/>
    <mergeCell ref="B37:F37"/>
    <mergeCell ref="B38:F38"/>
    <mergeCell ref="B39:F39"/>
    <mergeCell ref="B40:F40"/>
    <mergeCell ref="B41:F41"/>
    <mergeCell ref="B42:F42"/>
    <mergeCell ref="B31:F31"/>
    <mergeCell ref="B32:F32"/>
    <mergeCell ref="B33:F33"/>
    <mergeCell ref="B34:F34"/>
    <mergeCell ref="B35:F35"/>
    <mergeCell ref="B36:F36"/>
    <mergeCell ref="B26:F26"/>
    <mergeCell ref="B27:F27"/>
    <mergeCell ref="B28:F28"/>
    <mergeCell ref="B29:F29"/>
    <mergeCell ref="B30:F30"/>
    <mergeCell ref="B19:F19"/>
    <mergeCell ref="B20:F20"/>
    <mergeCell ref="B21:F21"/>
    <mergeCell ref="B22:F22"/>
    <mergeCell ref="B23:F23"/>
    <mergeCell ref="B24:F24"/>
    <mergeCell ref="B17:F17"/>
    <mergeCell ref="B18:F18"/>
    <mergeCell ref="B7:F7"/>
    <mergeCell ref="B8:F8"/>
    <mergeCell ref="B9:F9"/>
    <mergeCell ref="B10:F10"/>
    <mergeCell ref="B11:F11"/>
    <mergeCell ref="B12:F12"/>
    <mergeCell ref="B25:F25"/>
    <mergeCell ref="B2:F2"/>
    <mergeCell ref="B3:F3"/>
    <mergeCell ref="B4:F4"/>
    <mergeCell ref="B5:F5"/>
    <mergeCell ref="B6:F6"/>
    <mergeCell ref="B13:F13"/>
    <mergeCell ref="B14:F14"/>
    <mergeCell ref="B15:F15"/>
    <mergeCell ref="B16:F16"/>
  </mergeCells>
  <phoneticPr fontId="2" type="noConversion"/>
  <pageMargins left="0.75" right="0.75" top="1" bottom="1" header="0.5" footer="0.5"/>
  <pageSetup orientation="portrait" horizontalDpi="4294967292" verticalDpi="4294967292" r:id="rId1"/>
  <extLst>
    <ext xmlns:mx="http://schemas.microsoft.com/office/mac/excel/2008/main" uri="{64002731-A6B0-56B0-2670-7721B7C09600}">
      <mx:PLV Mode="1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Paige Bond</dc:creator>
  <cp:lastModifiedBy>Mohammed Abdo</cp:lastModifiedBy>
  <dcterms:created xsi:type="dcterms:W3CDTF">2013-10-13T01:18:58Z</dcterms:created>
  <dcterms:modified xsi:type="dcterms:W3CDTF">2014-05-08T16:57:01Z</dcterms:modified>
</cp:coreProperties>
</file>
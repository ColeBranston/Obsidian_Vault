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ckpeplinski/Desktop/SOP/BUS_2257/Midyear/"/>
    </mc:Choice>
  </mc:AlternateContent>
  <xr:revisionPtr revIDLastSave="0" documentId="13_ncr:1_{27826915-7BBA-5849-832F-FCEEA3B4E1AE}" xr6:coauthVersionLast="45" xr6:coauthVersionMax="45" xr10:uidLastSave="{00000000-0000-0000-0000-000000000000}"/>
  <bookViews>
    <workbookView xWindow="-20160" yWindow="-21600" windowWidth="36800" windowHeight="216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1" i="1" l="1"/>
  <c r="F72" i="1"/>
  <c r="E54" i="1"/>
  <c r="E65" i="1" l="1"/>
  <c r="F66" i="1" s="1"/>
  <c r="E71" i="1" s="1"/>
  <c r="F62" i="1"/>
  <c r="E70" i="1" s="1"/>
  <c r="G140" i="1"/>
  <c r="G141" i="1"/>
  <c r="E140" i="1"/>
  <c r="F154" i="1"/>
  <c r="F141" i="1"/>
  <c r="G96" i="1"/>
  <c r="G129" i="1" s="1"/>
  <c r="H130" i="1" s="1"/>
  <c r="G122" i="1"/>
  <c r="H123" i="1"/>
  <c r="H112" i="1"/>
  <c r="H105" i="1"/>
  <c r="G97" i="1"/>
  <c r="H106" i="1" s="1"/>
  <c r="G104" i="1" s="1"/>
  <c r="G76" i="1"/>
  <c r="H77" i="1" s="1"/>
  <c r="E13" i="1"/>
  <c r="F14" i="1"/>
  <c r="G20" i="1"/>
  <c r="H21" i="1" s="1"/>
  <c r="H22" i="1"/>
  <c r="H30" i="1"/>
  <c r="H46" i="1"/>
  <c r="H16" i="1"/>
  <c r="G15" i="1"/>
  <c r="G13" i="1"/>
  <c r="G12" i="1"/>
  <c r="H37" i="1"/>
  <c r="B30" i="1"/>
  <c r="B29" i="1"/>
  <c r="B28" i="1"/>
  <c r="G28" i="1" l="1"/>
  <c r="H29" i="1" s="1"/>
  <c r="H15" i="1" s="1"/>
  <c r="G35" i="1"/>
  <c r="H13" i="1"/>
  <c r="H12" i="1"/>
  <c r="H113" i="1"/>
  <c r="H114" i="1" s="1"/>
  <c r="H142" i="1"/>
  <c r="G143" i="1" s="1"/>
  <c r="E161" i="1" s="1"/>
  <c r="F162" i="1" s="1"/>
  <c r="H98" i="1"/>
  <c r="E152" i="1"/>
  <c r="F153" i="1" s="1"/>
  <c r="G36" i="1" l="1"/>
  <c r="G16" i="1"/>
  <c r="H14" i="1"/>
  <c r="H17" i="1" s="1"/>
  <c r="G44" i="1" s="1"/>
  <c r="H45" i="1" s="1"/>
</calcChain>
</file>

<file path=xl/sharedStrings.xml><?xml version="1.0" encoding="utf-8"?>
<sst xmlns="http://schemas.openxmlformats.org/spreadsheetml/2006/main" count="181" uniqueCount="145">
  <si>
    <t>DUFFINBEAR INC</t>
  </si>
  <si>
    <t>JAN 1/11</t>
  </si>
  <si>
    <t>JULY 1/11</t>
  </si>
  <si>
    <t>SEPT 1/11</t>
  </si>
  <si>
    <t>DEC 31/11</t>
  </si>
  <si>
    <t>6 months</t>
  </si>
  <si>
    <t>2 months</t>
  </si>
  <si>
    <t>4 months</t>
  </si>
  <si>
    <t>Issued $1 million</t>
  </si>
  <si>
    <t>10 year</t>
  </si>
  <si>
    <t>Coupon: 9%</t>
  </si>
  <si>
    <t>Market: 10%</t>
  </si>
  <si>
    <t>Interest Due</t>
  </si>
  <si>
    <t xml:space="preserve">40% Called </t>
  </si>
  <si>
    <t xml:space="preserve">at 102 + accrued  </t>
  </si>
  <si>
    <t>interest</t>
  </si>
  <si>
    <t>FYE</t>
  </si>
  <si>
    <t xml:space="preserve">Amortize and </t>
  </si>
  <si>
    <t>Accrue Interest</t>
  </si>
  <si>
    <t>JANUARY 1/11</t>
  </si>
  <si>
    <t>1.)</t>
  </si>
  <si>
    <t>Dr Cash</t>
  </si>
  <si>
    <t>Cr Bonds Payable</t>
  </si>
  <si>
    <t>Interest Payments: 1,000,000*9%*(6/12)*12.46221=560,799</t>
  </si>
  <si>
    <t>PV of FV: 1,000,000*0.37689=376,890</t>
  </si>
  <si>
    <t>2.)</t>
  </si>
  <si>
    <t>Dr Interest Expense</t>
  </si>
  <si>
    <t>Price Received: 560,799+376,890=937,689</t>
  </si>
  <si>
    <t>Cr Bond Payable</t>
  </si>
  <si>
    <t>Cr Cash</t>
  </si>
  <si>
    <t>Cash: 1,000,000*9%*(6/12)=45,000</t>
  </si>
  <si>
    <t>Interest: 9,37,689*10%*(6/12)=46,884</t>
  </si>
  <si>
    <t>Bond: 46,884-45,000=1,884</t>
  </si>
  <si>
    <t>SEPTEMBER 1/11</t>
  </si>
  <si>
    <t>Interest: (9,37,689+1,884)*10%*(2/12)*40%=6,264</t>
  </si>
  <si>
    <t>Cash: 1,000,000*9%*(2/12)*40%=6,000</t>
  </si>
  <si>
    <t>Bond: 6,264-6,000=264</t>
  </si>
  <si>
    <t>3.)</t>
  </si>
  <si>
    <t>4.)</t>
  </si>
  <si>
    <t>Dr Bond Payable</t>
  </si>
  <si>
    <t>Dr Loss on Recall</t>
  </si>
  <si>
    <t>Book Value:((937,689+1,844)*40%)+264=376,093</t>
  </si>
  <si>
    <t>Cash: 1,000,000*40%*1.02=408,000</t>
  </si>
  <si>
    <t>Loss on Recall: 408,000-376,093=31,907</t>
  </si>
  <si>
    <t>DECEMBER 31/11</t>
  </si>
  <si>
    <t>5.)</t>
  </si>
  <si>
    <t>Cr Bond Interest Payable</t>
  </si>
  <si>
    <t>9% BONDS</t>
  </si>
  <si>
    <t>T/B</t>
  </si>
  <si>
    <t>Int. Exp: 563,744 (T/B in T Account)*10%*(6/12)=28,187</t>
  </si>
  <si>
    <t>Int. Payable: 1,000,000*60%*9%*(6/12)=27,000</t>
  </si>
  <si>
    <t>Bond Payable: 28,187-27,000=1,187</t>
  </si>
  <si>
    <t>STOCKS</t>
  </si>
  <si>
    <t>COMMON STOCKS</t>
  </si>
  <si>
    <t>PREFERRED STOCKS</t>
  </si>
  <si>
    <t>FEBRUARY 3/11</t>
  </si>
  <si>
    <t>6.)</t>
  </si>
  <si>
    <t>Cr Common Shares</t>
  </si>
  <si>
    <t>Cr Preferred Shares</t>
  </si>
  <si>
    <t>400,000*25=10,000,000</t>
  </si>
  <si>
    <t>10,000,000+2,000,000=12,000,000</t>
  </si>
  <si>
    <t>Feb. 3</t>
  </si>
  <si>
    <t>APRIL 15/11</t>
  </si>
  <si>
    <t>7.)</t>
  </si>
  <si>
    <t>Dr Retained Earnings</t>
  </si>
  <si>
    <t>Common: 400,000*0.25=100,000</t>
  </si>
  <si>
    <t>Preferred: 20,000*8=160,000</t>
  </si>
  <si>
    <t>MAY 1/11</t>
  </si>
  <si>
    <t>8.)</t>
  </si>
  <si>
    <t>9.)</t>
  </si>
  <si>
    <t>Cr Stock Dividend to be Distributed</t>
  </si>
  <si>
    <t># of New Shares: 400,000*5%=20,000</t>
  </si>
  <si>
    <t>Value: 20,000*25.40=508,000</t>
  </si>
  <si>
    <t>9% BONDS PAYABLE</t>
  </si>
  <si>
    <t>FEB. 1/11</t>
  </si>
  <si>
    <t>5 months</t>
  </si>
  <si>
    <t>Bought 100</t>
  </si>
  <si>
    <t>Bought@ 99+Int</t>
  </si>
  <si>
    <t>$250 fee</t>
  </si>
  <si>
    <t>50% Sold @101 +</t>
  </si>
  <si>
    <t>$100 fee</t>
  </si>
  <si>
    <t>Accrued Interest</t>
  </si>
  <si>
    <t>MKT 10%</t>
  </si>
  <si>
    <t>FEBRUARY 1/11</t>
  </si>
  <si>
    <t>10.)</t>
  </si>
  <si>
    <t>Dr T/I Bonds</t>
  </si>
  <si>
    <t>Dr Interest Receivable</t>
  </si>
  <si>
    <t>Bond: (100,000*99%)+250 = 99,250</t>
  </si>
  <si>
    <t>Interest: 100,000*9%*1/12=750</t>
  </si>
  <si>
    <t>Cash: 99,250+750=100,000</t>
  </si>
  <si>
    <t>11.)</t>
  </si>
  <si>
    <t>Cr Interest Receivable</t>
  </si>
  <si>
    <t>Cr Interest Revenue</t>
  </si>
  <si>
    <t>Interest Revenue: 100,000*9%*5/12=3,750</t>
  </si>
  <si>
    <t>Cash: 750+3,750=4,500</t>
  </si>
  <si>
    <t>12.)</t>
  </si>
  <si>
    <t>Cr T/I Bonds</t>
  </si>
  <si>
    <t>Cr Gain on Sale</t>
  </si>
  <si>
    <t>Book Value: 99,250*50%=49,625</t>
  </si>
  <si>
    <t>Gain: 50,400-8,333-49,635=775</t>
  </si>
  <si>
    <t>Cash for Bond: (100,000*50%*1.01)-100=50,400</t>
  </si>
  <si>
    <t>Interest: 100,000*50%*9%*2/12=750</t>
  </si>
  <si>
    <t>Total Cash Received: 50,400+750=51,150</t>
  </si>
  <si>
    <t>13.)</t>
  </si>
  <si>
    <t>50,000*9%*6/12=2,250</t>
  </si>
  <si>
    <t>14.)</t>
  </si>
  <si>
    <t>Dr Unrealized Loss</t>
  </si>
  <si>
    <t>Cr T/I 9% Bonds</t>
  </si>
  <si>
    <t>PV of FV: 50,000*0.74622=37,311</t>
  </si>
  <si>
    <t>PV of Interest: 50,000*9%*6/12*5.07569=11,420</t>
  </si>
  <si>
    <t>Market Value of Bond: 37,311+11,420=48,731</t>
  </si>
  <si>
    <t>Book Value of Bond: 99,250*50%=49,625</t>
  </si>
  <si>
    <t>Unrealized Loss: 49,625-48,731=894</t>
  </si>
  <si>
    <t>T/I STOCKS</t>
  </si>
  <si>
    <t>APRIL 3/11</t>
  </si>
  <si>
    <t>15.)</t>
  </si>
  <si>
    <t>Dr T/I Stocks</t>
  </si>
  <si>
    <t>(400*43.10)+400=17,640</t>
  </si>
  <si>
    <t>Apr. 3</t>
  </si>
  <si>
    <t>JUNE 15/11</t>
  </si>
  <si>
    <t>No Entry</t>
  </si>
  <si>
    <t>JUNE 20/11</t>
  </si>
  <si>
    <t>Update # of Shares (400*5%=20)</t>
  </si>
  <si>
    <t>June. 20</t>
  </si>
  <si>
    <t>DECEMBER 20/11</t>
  </si>
  <si>
    <t>16.)</t>
  </si>
  <si>
    <t>Dr Broker Receivable</t>
  </si>
  <si>
    <t>Cr T/I Shares</t>
  </si>
  <si>
    <t>Book Value: 17,640*60%=10,584</t>
  </si>
  <si>
    <t># of Shares: 420*60%=252</t>
  </si>
  <si>
    <t>Proceeds: (252*46.50)-250=11,468</t>
  </si>
  <si>
    <t>Gain: 11,468-10,584=884</t>
  </si>
  <si>
    <t>Dec. 20</t>
  </si>
  <si>
    <t>17.)</t>
  </si>
  <si>
    <t>Dr T/I Shares</t>
  </si>
  <si>
    <t>Cr Unrealized Gains</t>
  </si>
  <si>
    <t>Book Value: 17,640*40%=7,056</t>
  </si>
  <si>
    <t>Market: 168*45.50=7,644</t>
  </si>
  <si>
    <t>Gain: 7,644-7056=588</t>
  </si>
  <si>
    <t>Cr Preferred Dividends Payable</t>
  </si>
  <si>
    <t>Cr Common Dividends Payable</t>
  </si>
  <si>
    <t>Dr Preferred Dividends Payable</t>
  </si>
  <si>
    <t>Dr Common Dividends Payable</t>
  </si>
  <si>
    <t>DECEMBER 23/11</t>
  </si>
  <si>
    <t>18.)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</si>
</sst>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5" xfId="0" applyBorder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5" xfId="1" applyNumberFormat="1" applyFont="1" applyBorder="1"/>
    <xf numFmtId="164" fontId="0" fillId="0" borderId="0" xfId="0" applyNumberFormat="1"/>
    <xf numFmtId="44" fontId="0" fillId="0" borderId="7" xfId="1" applyNumberFormat="1" applyFont="1" applyBorder="1"/>
    <xf numFmtId="44" fontId="0" fillId="0" borderId="5" xfId="0" applyNumberFormat="1" applyBorder="1"/>
    <xf numFmtId="44" fontId="0" fillId="0" borderId="5" xfId="1" applyNumberFormat="1" applyFont="1" applyBorder="1"/>
    <xf numFmtId="44" fontId="0" fillId="0" borderId="6" xfId="0" applyNumberFormat="1" applyBorder="1"/>
    <xf numFmtId="164" fontId="0" fillId="0" borderId="2" xfId="0" applyNumberFormat="1" applyBorder="1"/>
    <xf numFmtId="164" fontId="0" fillId="0" borderId="2" xfId="1" applyNumberFormat="1" applyFont="1" applyBorder="1"/>
    <xf numFmtId="164" fontId="0" fillId="0" borderId="6" xfId="1" applyNumberFormat="1" applyFont="1" applyBorder="1"/>
    <xf numFmtId="164" fontId="0" fillId="0" borderId="0" xfId="1" applyNumberFormat="1" applyFont="1" applyAlignment="1"/>
    <xf numFmtId="164" fontId="0" fillId="2" borderId="0" xfId="1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left"/>
    </xf>
  </cellXfs>
  <cellStyles count="1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9"/>
  <sheetViews>
    <sheetView tabSelected="1" view="pageLayout" topLeftCell="A119" zoomScale="135" zoomScalePageLayoutView="135" workbookViewId="0">
      <selection activeCell="E163" sqref="E163"/>
    </sheetView>
  </sheetViews>
  <sheetFormatPr baseColWidth="10" defaultColWidth="11" defaultRowHeight="16" x14ac:dyDescent="0.2"/>
  <cols>
    <col min="1" max="1" width="4" customWidth="1"/>
    <col min="5" max="5" width="11.33203125" customWidth="1"/>
    <col min="6" max="6" width="11.83203125" customWidth="1"/>
    <col min="7" max="7" width="12.5" bestFit="1" customWidth="1"/>
    <col min="8" max="8" width="11.5" bestFit="1" customWidth="1"/>
  </cols>
  <sheetData>
    <row r="1" spans="1:8" ht="27" thickBot="1" x14ac:dyDescent="0.35">
      <c r="A1" s="25" t="s">
        <v>0</v>
      </c>
      <c r="B1" s="25"/>
      <c r="C1" s="25"/>
      <c r="D1" s="25"/>
      <c r="E1" s="25"/>
      <c r="F1" s="25"/>
      <c r="G1" s="25"/>
      <c r="H1" s="25"/>
    </row>
    <row r="2" spans="1:8" x14ac:dyDescent="0.2">
      <c r="B2" s="20"/>
      <c r="C2" s="20"/>
      <c r="D2" s="20"/>
      <c r="E2" s="20"/>
      <c r="F2" s="20"/>
    </row>
    <row r="3" spans="1:8" x14ac:dyDescent="0.2">
      <c r="B3" s="21" t="s">
        <v>73</v>
      </c>
      <c r="C3" s="21"/>
      <c r="D3" s="21"/>
      <c r="E3" s="21"/>
      <c r="F3" s="21"/>
    </row>
    <row r="4" spans="1:8" x14ac:dyDescent="0.2">
      <c r="A4" s="20" t="s">
        <v>1</v>
      </c>
      <c r="B4" s="20"/>
      <c r="C4" s="20" t="s">
        <v>2</v>
      </c>
      <c r="D4" s="20"/>
      <c r="E4" s="20" t="s">
        <v>3</v>
      </c>
      <c r="F4" s="20"/>
      <c r="G4" s="20" t="s">
        <v>4</v>
      </c>
      <c r="H4" s="20"/>
    </row>
    <row r="5" spans="1:8" x14ac:dyDescent="0.2">
      <c r="B5" s="22" t="s">
        <v>5</v>
      </c>
      <c r="C5" s="23"/>
      <c r="D5" s="22" t="s">
        <v>6</v>
      </c>
      <c r="E5" s="23"/>
      <c r="F5" s="22" t="s">
        <v>7</v>
      </c>
      <c r="G5" s="23"/>
    </row>
    <row r="6" spans="1:8" x14ac:dyDescent="0.2">
      <c r="B6" s="2"/>
      <c r="C6" s="3"/>
      <c r="D6" s="1"/>
      <c r="E6" s="3"/>
      <c r="F6" s="1"/>
      <c r="G6" s="4"/>
    </row>
    <row r="7" spans="1:8" x14ac:dyDescent="0.2">
      <c r="A7" s="20" t="s">
        <v>8</v>
      </c>
      <c r="B7" s="20"/>
      <c r="C7" s="20" t="s">
        <v>12</v>
      </c>
      <c r="D7" s="20"/>
      <c r="E7" s="20" t="s">
        <v>13</v>
      </c>
      <c r="F7" s="20"/>
      <c r="G7" s="20" t="s">
        <v>16</v>
      </c>
      <c r="H7" s="20"/>
    </row>
    <row r="8" spans="1:8" x14ac:dyDescent="0.2">
      <c r="A8" s="20" t="s">
        <v>9</v>
      </c>
      <c r="B8" s="20"/>
      <c r="C8" s="20"/>
      <c r="D8" s="20"/>
      <c r="E8" s="20" t="s">
        <v>14</v>
      </c>
      <c r="F8" s="20"/>
      <c r="G8" s="20" t="s">
        <v>17</v>
      </c>
      <c r="H8" s="20"/>
    </row>
    <row r="9" spans="1:8" x14ac:dyDescent="0.2">
      <c r="A9" s="20" t="s">
        <v>10</v>
      </c>
      <c r="B9" s="20"/>
      <c r="C9" s="20"/>
      <c r="D9" s="20"/>
      <c r="E9" s="20" t="s">
        <v>15</v>
      </c>
      <c r="F9" s="20"/>
      <c r="G9" s="20" t="s">
        <v>18</v>
      </c>
      <c r="H9" s="20"/>
    </row>
    <row r="10" spans="1:8" x14ac:dyDescent="0.2">
      <c r="A10" s="20" t="s">
        <v>11</v>
      </c>
      <c r="B10" s="20"/>
      <c r="C10" s="20"/>
      <c r="D10" s="20"/>
      <c r="E10" s="20"/>
      <c r="F10" s="20"/>
      <c r="G10" s="20"/>
      <c r="H10" s="20"/>
    </row>
    <row r="11" spans="1:8" x14ac:dyDescent="0.2">
      <c r="B11" s="18"/>
      <c r="C11" s="18"/>
      <c r="D11" s="18"/>
      <c r="E11" s="18"/>
      <c r="F11" s="18"/>
      <c r="G11" s="26" t="s">
        <v>47</v>
      </c>
      <c r="H11" s="26"/>
    </row>
    <row r="12" spans="1:8" x14ac:dyDescent="0.2">
      <c r="B12" s="18" t="s">
        <v>19</v>
      </c>
      <c r="C12" s="18"/>
      <c r="D12" s="18"/>
      <c r="E12" s="18"/>
      <c r="F12" s="18"/>
      <c r="G12" s="9" t="str">
        <f>A13</f>
        <v>1.)</v>
      </c>
      <c r="H12" s="6">
        <f>F14</f>
        <v>937689.45000000007</v>
      </c>
    </row>
    <row r="13" spans="1:8" x14ac:dyDescent="0.2">
      <c r="A13" t="s">
        <v>20</v>
      </c>
      <c r="B13" s="18" t="s">
        <v>21</v>
      </c>
      <c r="C13" s="18"/>
      <c r="D13" s="18"/>
      <c r="E13" s="6">
        <f>(1000000*9%*6/12*12.46221)+(1000000*0.37689)</f>
        <v>937689.45000000007</v>
      </c>
      <c r="F13" s="6"/>
      <c r="G13" s="12" t="str">
        <f>A20</f>
        <v>2.)</v>
      </c>
      <c r="H13" s="13">
        <f>H21</f>
        <v>1884.4725000000035</v>
      </c>
    </row>
    <row r="14" spans="1:8" x14ac:dyDescent="0.2">
      <c r="B14" s="19" t="s">
        <v>22</v>
      </c>
      <c r="C14" s="19"/>
      <c r="D14" s="19"/>
      <c r="E14" s="6"/>
      <c r="F14" s="6">
        <f>E13</f>
        <v>937689.45000000007</v>
      </c>
      <c r="G14" s="10" t="s">
        <v>48</v>
      </c>
      <c r="H14" s="8">
        <f>H12+H13</f>
        <v>939573.9225000001</v>
      </c>
    </row>
    <row r="15" spans="1:8" x14ac:dyDescent="0.2">
      <c r="B15" s="1" t="s">
        <v>23</v>
      </c>
      <c r="C15" s="1"/>
      <c r="D15" s="1"/>
      <c r="E15" s="1"/>
      <c r="F15" s="1"/>
      <c r="G15" s="11" t="str">
        <f>A28</f>
        <v>3.)</v>
      </c>
      <c r="H15" s="6">
        <f>H29</f>
        <v>263.82615000000169</v>
      </c>
    </row>
    <row r="16" spans="1:8" x14ac:dyDescent="0.2">
      <c r="B16" s="1" t="s">
        <v>24</v>
      </c>
      <c r="C16" s="1"/>
      <c r="D16" s="1"/>
      <c r="E16" s="1"/>
      <c r="F16" s="1"/>
      <c r="G16" s="15">
        <f>G35</f>
        <v>376093.39515000005</v>
      </c>
      <c r="H16" s="14" t="str">
        <f>A35</f>
        <v>4.)</v>
      </c>
    </row>
    <row r="17" spans="1:8" x14ac:dyDescent="0.2">
      <c r="B17" s="1" t="s">
        <v>27</v>
      </c>
      <c r="C17" s="1"/>
      <c r="D17" s="1"/>
      <c r="E17" s="1"/>
      <c r="F17" s="1"/>
      <c r="G17" s="11" t="s">
        <v>48</v>
      </c>
      <c r="H17" s="6">
        <f>H14+H15-G16</f>
        <v>563744.35349999997</v>
      </c>
    </row>
    <row r="18" spans="1:8" x14ac:dyDescent="0.2">
      <c r="B18" s="18"/>
      <c r="C18" s="18"/>
      <c r="D18" s="18"/>
      <c r="E18" s="18"/>
      <c r="F18" s="18"/>
      <c r="G18" s="11"/>
      <c r="H18" s="6"/>
    </row>
    <row r="19" spans="1:8" x14ac:dyDescent="0.2">
      <c r="B19" s="18" t="s">
        <v>2</v>
      </c>
      <c r="C19" s="18"/>
      <c r="D19" s="18"/>
      <c r="E19" s="18"/>
      <c r="F19" s="18"/>
      <c r="G19" s="6"/>
      <c r="H19" s="6"/>
    </row>
    <row r="20" spans="1:8" x14ac:dyDescent="0.2">
      <c r="A20" t="s">
        <v>25</v>
      </c>
      <c r="B20" s="18" t="s">
        <v>26</v>
      </c>
      <c r="C20" s="18"/>
      <c r="D20" s="18"/>
      <c r="E20" s="18"/>
      <c r="F20" s="18"/>
      <c r="G20" s="6">
        <f>E13*10%*6/12</f>
        <v>46884.472500000003</v>
      </c>
      <c r="H20" s="6"/>
    </row>
    <row r="21" spans="1:8" x14ac:dyDescent="0.2">
      <c r="B21" s="19" t="s">
        <v>28</v>
      </c>
      <c r="C21" s="19"/>
      <c r="D21" s="19"/>
      <c r="E21" s="19"/>
      <c r="F21" s="19"/>
      <c r="G21" s="6"/>
      <c r="H21" s="6">
        <f>G20-H22</f>
        <v>1884.4725000000035</v>
      </c>
    </row>
    <row r="22" spans="1:8" x14ac:dyDescent="0.2">
      <c r="B22" s="19" t="s">
        <v>29</v>
      </c>
      <c r="C22" s="19"/>
      <c r="D22" s="19"/>
      <c r="E22" s="19"/>
      <c r="F22" s="19"/>
      <c r="G22" s="6"/>
      <c r="H22" s="6">
        <f>1000000*9%*6/12</f>
        <v>45000</v>
      </c>
    </row>
    <row r="23" spans="1:8" x14ac:dyDescent="0.2">
      <c r="B23" s="18" t="s">
        <v>30</v>
      </c>
      <c r="C23" s="18"/>
      <c r="D23" s="18"/>
      <c r="E23" s="18"/>
      <c r="F23" s="18"/>
      <c r="G23" s="6"/>
      <c r="H23" s="6"/>
    </row>
    <row r="24" spans="1:8" x14ac:dyDescent="0.2">
      <c r="B24" s="18" t="s">
        <v>31</v>
      </c>
      <c r="C24" s="18"/>
      <c r="D24" s="18"/>
      <c r="E24" s="18"/>
      <c r="F24" s="18"/>
      <c r="G24" s="6"/>
      <c r="H24" s="6"/>
    </row>
    <row r="25" spans="1:8" x14ac:dyDescent="0.2">
      <c r="B25" s="18" t="s">
        <v>32</v>
      </c>
      <c r="C25" s="18"/>
      <c r="D25" s="18"/>
      <c r="E25" s="18"/>
      <c r="F25" s="18"/>
      <c r="G25" s="6"/>
      <c r="H25" s="6"/>
    </row>
    <row r="26" spans="1:8" x14ac:dyDescent="0.2">
      <c r="B26" s="18"/>
      <c r="C26" s="18"/>
      <c r="D26" s="18"/>
      <c r="E26" s="18"/>
      <c r="F26" s="18"/>
      <c r="G26" s="6"/>
      <c r="H26" s="6"/>
    </row>
    <row r="27" spans="1:8" x14ac:dyDescent="0.2">
      <c r="B27" s="18" t="s">
        <v>33</v>
      </c>
      <c r="C27" s="18"/>
      <c r="D27" s="18"/>
      <c r="E27" s="18"/>
      <c r="F27" s="18"/>
      <c r="G27" s="6"/>
      <c r="H27" s="6"/>
    </row>
    <row r="28" spans="1:8" x14ac:dyDescent="0.2">
      <c r="A28" t="s">
        <v>37</v>
      </c>
      <c r="B28" s="18" t="str">
        <f>B20</f>
        <v>Dr Interest Expense</v>
      </c>
      <c r="C28" s="18"/>
      <c r="D28" s="18"/>
      <c r="E28" s="18"/>
      <c r="F28" s="18"/>
      <c r="G28" s="6">
        <f>(F14+H21)*0.1*2/12*0.4</f>
        <v>6263.8261500000017</v>
      </c>
      <c r="H28" s="6"/>
    </row>
    <row r="29" spans="1:8" x14ac:dyDescent="0.2">
      <c r="B29" s="19" t="str">
        <f>B21</f>
        <v>Cr Bond Payable</v>
      </c>
      <c r="C29" s="19"/>
      <c r="D29" s="19"/>
      <c r="E29" s="19"/>
      <c r="F29" s="19"/>
      <c r="G29" s="6"/>
      <c r="H29" s="6">
        <f>G28-H30</f>
        <v>263.82615000000169</v>
      </c>
    </row>
    <row r="30" spans="1:8" x14ac:dyDescent="0.2">
      <c r="B30" s="19" t="str">
        <f>B22</f>
        <v>Cr Cash</v>
      </c>
      <c r="C30" s="19"/>
      <c r="D30" s="19"/>
      <c r="E30" s="19"/>
      <c r="F30" s="19"/>
      <c r="G30" s="6"/>
      <c r="H30" s="6">
        <f>1000000*0.4*2/12*9%</f>
        <v>6000</v>
      </c>
    </row>
    <row r="31" spans="1:8" x14ac:dyDescent="0.2">
      <c r="B31" s="18" t="s">
        <v>35</v>
      </c>
      <c r="C31" s="18"/>
      <c r="D31" s="18"/>
      <c r="E31" s="18"/>
      <c r="F31" s="18"/>
      <c r="G31" s="6"/>
      <c r="H31" s="6"/>
    </row>
    <row r="32" spans="1:8" x14ac:dyDescent="0.2">
      <c r="B32" s="18" t="s">
        <v>34</v>
      </c>
      <c r="C32" s="18"/>
      <c r="D32" s="18"/>
      <c r="E32" s="18"/>
      <c r="F32" s="18"/>
      <c r="G32" s="6"/>
      <c r="H32" s="6"/>
    </row>
    <row r="33" spans="1:8" x14ac:dyDescent="0.2">
      <c r="B33" s="18" t="s">
        <v>36</v>
      </c>
      <c r="C33" s="18"/>
      <c r="D33" s="18"/>
      <c r="E33" s="18"/>
      <c r="F33" s="18"/>
      <c r="G33" s="6"/>
      <c r="H33" s="6"/>
    </row>
    <row r="34" spans="1:8" x14ac:dyDescent="0.2">
      <c r="B34" s="18"/>
      <c r="C34" s="18"/>
      <c r="D34" s="18"/>
      <c r="E34" s="18"/>
      <c r="F34" s="18"/>
      <c r="G34" s="6"/>
      <c r="H34" s="6"/>
    </row>
    <row r="35" spans="1:8" x14ac:dyDescent="0.2">
      <c r="A35" t="s">
        <v>38</v>
      </c>
      <c r="B35" s="18" t="s">
        <v>39</v>
      </c>
      <c r="C35" s="18"/>
      <c r="D35" s="18"/>
      <c r="E35" s="18"/>
      <c r="F35" s="18"/>
      <c r="G35" s="6">
        <f>((E13+H21)*0.4)+H29</f>
        <v>376093.39515000005</v>
      </c>
      <c r="H35" s="6"/>
    </row>
    <row r="36" spans="1:8" x14ac:dyDescent="0.2">
      <c r="B36" s="27" t="s">
        <v>40</v>
      </c>
      <c r="C36" s="27"/>
      <c r="D36" s="27"/>
      <c r="E36" s="27"/>
      <c r="F36" s="27"/>
      <c r="G36" s="17">
        <f>H37-G35</f>
        <v>31906.604849999945</v>
      </c>
      <c r="H36" s="6"/>
    </row>
    <row r="37" spans="1:8" x14ac:dyDescent="0.2">
      <c r="B37" s="19" t="s">
        <v>29</v>
      </c>
      <c r="C37" s="19"/>
      <c r="D37" s="19"/>
      <c r="E37" s="19"/>
      <c r="F37" s="19"/>
      <c r="G37" s="6"/>
      <c r="H37" s="6">
        <f>1000000*0.4*1.02</f>
        <v>408000</v>
      </c>
    </row>
    <row r="38" spans="1:8" x14ac:dyDescent="0.2">
      <c r="B38" s="18" t="s">
        <v>41</v>
      </c>
      <c r="C38" s="18"/>
      <c r="D38" s="18"/>
      <c r="E38" s="18"/>
      <c r="F38" s="18"/>
      <c r="G38" s="6"/>
      <c r="H38" s="6"/>
    </row>
    <row r="39" spans="1:8" x14ac:dyDescent="0.2">
      <c r="B39" s="18" t="s">
        <v>42</v>
      </c>
      <c r="C39" s="18"/>
      <c r="D39" s="18"/>
      <c r="E39" s="18"/>
      <c r="F39" s="18"/>
      <c r="G39" s="6"/>
      <c r="H39" s="6"/>
    </row>
    <row r="40" spans="1:8" x14ac:dyDescent="0.2">
      <c r="B40" s="18" t="s">
        <v>43</v>
      </c>
      <c r="C40" s="18"/>
      <c r="D40" s="18"/>
      <c r="E40" s="18"/>
      <c r="F40" s="18"/>
      <c r="G40" s="6"/>
      <c r="H40" s="6"/>
    </row>
    <row r="41" spans="1:8" x14ac:dyDescent="0.2">
      <c r="B41" s="18"/>
      <c r="C41" s="18"/>
      <c r="D41" s="18"/>
      <c r="E41" s="18"/>
      <c r="F41" s="18"/>
      <c r="G41" s="6"/>
      <c r="H41" s="6"/>
    </row>
    <row r="42" spans="1:8" x14ac:dyDescent="0.2">
      <c r="B42" s="18"/>
      <c r="C42" s="18"/>
      <c r="D42" s="18"/>
      <c r="E42" s="18"/>
      <c r="F42" s="18"/>
      <c r="G42" s="6"/>
      <c r="H42" s="6"/>
    </row>
    <row r="43" spans="1:8" x14ac:dyDescent="0.2">
      <c r="B43" s="18" t="s">
        <v>44</v>
      </c>
      <c r="C43" s="18"/>
      <c r="D43" s="18"/>
      <c r="E43" s="18"/>
      <c r="F43" s="18"/>
      <c r="G43" s="6"/>
      <c r="H43" s="6"/>
    </row>
    <row r="44" spans="1:8" x14ac:dyDescent="0.2">
      <c r="A44" t="s">
        <v>45</v>
      </c>
      <c r="B44" s="18" t="s">
        <v>26</v>
      </c>
      <c r="C44" s="18"/>
      <c r="D44" s="18"/>
      <c r="E44" s="18"/>
      <c r="F44" s="18"/>
      <c r="G44" s="6">
        <f>H17*0.1*6/12</f>
        <v>28187.217675000004</v>
      </c>
      <c r="H44" s="6"/>
    </row>
    <row r="45" spans="1:8" x14ac:dyDescent="0.2">
      <c r="B45" s="19" t="s">
        <v>28</v>
      </c>
      <c r="C45" s="19"/>
      <c r="D45" s="19"/>
      <c r="E45" s="19"/>
      <c r="F45" s="19"/>
      <c r="G45" s="6"/>
      <c r="H45" s="6">
        <f>G44-H46</f>
        <v>1187.2176750000035</v>
      </c>
    </row>
    <row r="46" spans="1:8" x14ac:dyDescent="0.2">
      <c r="B46" s="19" t="s">
        <v>46</v>
      </c>
      <c r="C46" s="19"/>
      <c r="D46" s="19"/>
      <c r="E46" s="19"/>
      <c r="F46" s="19"/>
      <c r="G46" s="6"/>
      <c r="H46" s="6">
        <f>1000000*0.6*9%*6/12</f>
        <v>27000</v>
      </c>
    </row>
    <row r="47" spans="1:8" x14ac:dyDescent="0.2">
      <c r="B47" s="18" t="s">
        <v>49</v>
      </c>
      <c r="C47" s="18"/>
      <c r="D47" s="18"/>
      <c r="E47" s="18"/>
      <c r="F47" s="18"/>
      <c r="G47" s="6"/>
      <c r="H47" s="6"/>
    </row>
    <row r="48" spans="1:8" x14ac:dyDescent="0.2">
      <c r="B48" s="18" t="s">
        <v>50</v>
      </c>
      <c r="C48" s="18"/>
      <c r="D48" s="18"/>
      <c r="E48" s="18"/>
      <c r="F48" s="18"/>
      <c r="G48" s="6"/>
      <c r="H48" s="6"/>
    </row>
    <row r="49" spans="1:8" x14ac:dyDescent="0.2">
      <c r="B49" s="18" t="s">
        <v>51</v>
      </c>
      <c r="C49" s="18"/>
      <c r="D49" s="18"/>
      <c r="E49" s="18"/>
      <c r="F49" s="18"/>
      <c r="G49" s="6"/>
      <c r="H49" s="6"/>
    </row>
    <row r="50" spans="1:8" x14ac:dyDescent="0.2">
      <c r="B50" s="18"/>
      <c r="C50" s="18"/>
      <c r="D50" s="18"/>
      <c r="E50" s="18"/>
      <c r="F50" s="18"/>
      <c r="G50" s="6"/>
      <c r="H50" s="6"/>
    </row>
    <row r="51" spans="1:8" x14ac:dyDescent="0.2">
      <c r="B51" s="21" t="s">
        <v>52</v>
      </c>
      <c r="C51" s="21"/>
      <c r="D51" s="21"/>
      <c r="E51" s="21"/>
      <c r="F51" s="21"/>
      <c r="G51" s="6"/>
      <c r="H51" s="6"/>
    </row>
    <row r="52" spans="1:8" x14ac:dyDescent="0.2">
      <c r="B52" s="18"/>
      <c r="C52" s="18"/>
      <c r="D52" s="18"/>
      <c r="E52" s="1"/>
      <c r="F52" s="1"/>
      <c r="G52" s="24" t="s">
        <v>53</v>
      </c>
      <c r="H52" s="24"/>
    </row>
    <row r="53" spans="1:8" x14ac:dyDescent="0.2">
      <c r="B53" s="18" t="s">
        <v>55</v>
      </c>
      <c r="C53" s="18"/>
      <c r="D53" s="18"/>
      <c r="E53" s="1"/>
      <c r="F53" s="1"/>
      <c r="G53" s="7" t="s">
        <v>61</v>
      </c>
      <c r="H53" s="6">
        <v>400000</v>
      </c>
    </row>
    <row r="54" spans="1:8" x14ac:dyDescent="0.2">
      <c r="A54" t="s">
        <v>56</v>
      </c>
      <c r="B54" s="18" t="s">
        <v>21</v>
      </c>
      <c r="C54" s="18"/>
      <c r="D54" s="18"/>
      <c r="E54" s="16">
        <f>F55+F56</f>
        <v>12000000</v>
      </c>
      <c r="F54" s="16"/>
      <c r="G54" s="7"/>
      <c r="H54" s="6"/>
    </row>
    <row r="55" spans="1:8" x14ac:dyDescent="0.2">
      <c r="B55" s="19" t="s">
        <v>57</v>
      </c>
      <c r="C55" s="19"/>
      <c r="D55" s="19"/>
      <c r="E55" s="16"/>
      <c r="F55" s="16">
        <v>10000000</v>
      </c>
      <c r="G55" s="7"/>
      <c r="H55" s="6"/>
    </row>
    <row r="56" spans="1:8" x14ac:dyDescent="0.2">
      <c r="B56" s="19" t="s">
        <v>58</v>
      </c>
      <c r="C56" s="19"/>
      <c r="D56" s="19"/>
      <c r="E56" s="16"/>
      <c r="F56" s="16">
        <v>2000000</v>
      </c>
      <c r="G56" s="6"/>
      <c r="H56" s="6"/>
    </row>
    <row r="57" spans="1:8" x14ac:dyDescent="0.2">
      <c r="B57" s="18" t="s">
        <v>59</v>
      </c>
      <c r="C57" s="18"/>
      <c r="D57" s="18"/>
      <c r="E57" s="16"/>
      <c r="F57" s="16"/>
      <c r="G57" s="6"/>
      <c r="H57" s="6"/>
    </row>
    <row r="58" spans="1:8" x14ac:dyDescent="0.2">
      <c r="B58" s="18" t="s">
        <v>60</v>
      </c>
      <c r="C58" s="18"/>
      <c r="D58" s="18"/>
      <c r="E58" s="16"/>
      <c r="F58" s="16"/>
      <c r="G58" s="24" t="s">
        <v>54</v>
      </c>
      <c r="H58" s="24"/>
    </row>
    <row r="59" spans="1:8" x14ac:dyDescent="0.2">
      <c r="B59" s="18"/>
      <c r="C59" s="18"/>
      <c r="D59" s="18"/>
      <c r="E59" s="16"/>
      <c r="F59" s="16"/>
      <c r="G59" s="7" t="s">
        <v>61</v>
      </c>
      <c r="H59" s="6">
        <v>20000</v>
      </c>
    </row>
    <row r="60" spans="1:8" x14ac:dyDescent="0.2">
      <c r="B60" s="18" t="s">
        <v>62</v>
      </c>
      <c r="C60" s="18"/>
      <c r="D60" s="18"/>
      <c r="E60" s="16"/>
      <c r="F60" s="16"/>
      <c r="G60" s="7"/>
      <c r="H60" s="6"/>
    </row>
    <row r="61" spans="1:8" x14ac:dyDescent="0.2">
      <c r="A61" t="s">
        <v>63</v>
      </c>
      <c r="B61" s="18" t="s">
        <v>64</v>
      </c>
      <c r="C61" s="18"/>
      <c r="D61" s="18"/>
      <c r="E61" s="16">
        <v>160000</v>
      </c>
      <c r="F61" s="16"/>
      <c r="G61" s="7"/>
      <c r="H61" s="6"/>
    </row>
    <row r="62" spans="1:8" x14ac:dyDescent="0.2">
      <c r="B62" s="20" t="s">
        <v>139</v>
      </c>
      <c r="C62" s="20"/>
      <c r="D62" s="20"/>
      <c r="F62" s="8">
        <f>E61</f>
        <v>160000</v>
      </c>
    </row>
    <row r="63" spans="1:8" x14ac:dyDescent="0.2">
      <c r="B63" s="18" t="s">
        <v>66</v>
      </c>
      <c r="C63" s="18"/>
      <c r="D63" s="18"/>
      <c r="E63" s="18"/>
      <c r="F63" s="18"/>
    </row>
    <row r="64" spans="1:8" x14ac:dyDescent="0.2">
      <c r="B64" s="18"/>
      <c r="C64" s="18"/>
      <c r="D64" s="18"/>
    </row>
    <row r="65" spans="1:8" x14ac:dyDescent="0.2">
      <c r="A65" t="s">
        <v>68</v>
      </c>
      <c r="B65" s="18" t="s">
        <v>64</v>
      </c>
      <c r="C65" s="18"/>
      <c r="D65" s="18"/>
      <c r="E65" s="8">
        <f>H53*0.25</f>
        <v>100000</v>
      </c>
    </row>
    <row r="66" spans="1:8" x14ac:dyDescent="0.2">
      <c r="B66" s="19" t="s">
        <v>140</v>
      </c>
      <c r="C66" s="19"/>
      <c r="D66" s="19"/>
      <c r="F66" s="8">
        <f>E65</f>
        <v>100000</v>
      </c>
    </row>
    <row r="67" spans="1:8" x14ac:dyDescent="0.2">
      <c r="B67" s="18" t="s">
        <v>65</v>
      </c>
      <c r="C67" s="18"/>
      <c r="D67" s="18"/>
      <c r="E67" s="18"/>
      <c r="F67" s="18"/>
    </row>
    <row r="68" spans="1:8" x14ac:dyDescent="0.2">
      <c r="B68" s="18"/>
      <c r="C68" s="18"/>
      <c r="D68" s="18"/>
    </row>
    <row r="69" spans="1:8" x14ac:dyDescent="0.2">
      <c r="B69" s="18" t="s">
        <v>67</v>
      </c>
      <c r="C69" s="18"/>
      <c r="D69" s="18"/>
      <c r="E69" s="18"/>
      <c r="F69" s="18"/>
    </row>
    <row r="70" spans="1:8" x14ac:dyDescent="0.2">
      <c r="A70" t="s">
        <v>69</v>
      </c>
      <c r="B70" s="18" t="s">
        <v>141</v>
      </c>
      <c r="C70" s="18"/>
      <c r="D70" s="18"/>
      <c r="E70" s="8">
        <f>F62</f>
        <v>160000</v>
      </c>
    </row>
    <row r="71" spans="1:8" x14ac:dyDescent="0.2">
      <c r="B71" s="18" t="s">
        <v>142</v>
      </c>
      <c r="C71" s="18"/>
      <c r="D71" s="18"/>
      <c r="E71" s="8">
        <f>F66</f>
        <v>100000</v>
      </c>
    </row>
    <row r="72" spans="1:8" x14ac:dyDescent="0.2">
      <c r="B72" s="19" t="s">
        <v>29</v>
      </c>
      <c r="C72" s="19"/>
      <c r="D72" s="19"/>
      <c r="F72" s="8">
        <f>E70+E71</f>
        <v>260000</v>
      </c>
    </row>
    <row r="73" spans="1:8" x14ac:dyDescent="0.2">
      <c r="B73" s="19"/>
      <c r="C73" s="19"/>
      <c r="D73" s="19"/>
      <c r="E73" s="16"/>
      <c r="F73" s="16"/>
      <c r="G73" s="6"/>
      <c r="H73" s="6"/>
    </row>
    <row r="74" spans="1:8" x14ac:dyDescent="0.2">
      <c r="G74" s="6"/>
      <c r="H74" s="6"/>
    </row>
    <row r="75" spans="1:8" x14ac:dyDescent="0.2">
      <c r="B75" t="s">
        <v>143</v>
      </c>
      <c r="G75" s="6"/>
      <c r="H75" s="6"/>
    </row>
    <row r="76" spans="1:8" x14ac:dyDescent="0.2">
      <c r="A76" t="s">
        <v>84</v>
      </c>
      <c r="B76" s="18" t="s">
        <v>64</v>
      </c>
      <c r="C76" s="18"/>
      <c r="D76" s="18"/>
      <c r="E76" s="18"/>
      <c r="F76" s="18"/>
      <c r="G76" s="6">
        <f>H53*0.05*25.4</f>
        <v>508000</v>
      </c>
      <c r="H76" s="6"/>
    </row>
    <row r="77" spans="1:8" x14ac:dyDescent="0.2">
      <c r="B77" s="19" t="s">
        <v>70</v>
      </c>
      <c r="C77" s="19"/>
      <c r="D77" s="19"/>
      <c r="E77" s="19"/>
      <c r="F77" s="19"/>
      <c r="G77" s="6"/>
      <c r="H77" s="6">
        <f>G76</f>
        <v>508000</v>
      </c>
    </row>
    <row r="78" spans="1:8" x14ac:dyDescent="0.2">
      <c r="B78" s="5" t="s">
        <v>71</v>
      </c>
      <c r="C78" s="5"/>
      <c r="D78" s="5"/>
      <c r="E78" s="5"/>
      <c r="F78" s="5"/>
      <c r="G78" s="6"/>
      <c r="H78" s="6"/>
    </row>
    <row r="79" spans="1:8" x14ac:dyDescent="0.2">
      <c r="B79" s="5" t="s">
        <v>72</v>
      </c>
      <c r="C79" s="5"/>
      <c r="D79" s="5"/>
      <c r="E79" s="5"/>
      <c r="F79" s="5"/>
      <c r="G79" s="6"/>
      <c r="H79" s="6"/>
    </row>
    <row r="80" spans="1:8" x14ac:dyDescent="0.2">
      <c r="B80" s="19"/>
      <c r="C80" s="19"/>
      <c r="D80" s="19"/>
      <c r="E80" s="19"/>
      <c r="F80" s="19"/>
      <c r="G80" s="6"/>
      <c r="H80" s="6"/>
    </row>
    <row r="81" spans="1:8" x14ac:dyDescent="0.2">
      <c r="B81" s="18"/>
      <c r="C81" s="18"/>
      <c r="D81" s="18"/>
      <c r="E81" s="18"/>
      <c r="F81" s="18"/>
      <c r="G81" s="6"/>
      <c r="H81" s="6"/>
    </row>
    <row r="86" spans="1:8" x14ac:dyDescent="0.2">
      <c r="B86" s="21" t="s">
        <v>73</v>
      </c>
      <c r="C86" s="21"/>
      <c r="D86" s="21"/>
      <c r="E86" s="21"/>
      <c r="F86" s="21"/>
    </row>
    <row r="87" spans="1:8" x14ac:dyDescent="0.2">
      <c r="A87" s="20" t="s">
        <v>74</v>
      </c>
      <c r="B87" s="20"/>
      <c r="C87" s="20" t="s">
        <v>2</v>
      </c>
      <c r="D87" s="20"/>
      <c r="E87" s="20" t="s">
        <v>3</v>
      </c>
      <c r="F87" s="20"/>
      <c r="G87" s="20" t="s">
        <v>4</v>
      </c>
      <c r="H87" s="20"/>
    </row>
    <row r="88" spans="1:8" x14ac:dyDescent="0.2">
      <c r="B88" s="22" t="s">
        <v>75</v>
      </c>
      <c r="C88" s="23"/>
      <c r="D88" s="22" t="s">
        <v>6</v>
      </c>
      <c r="E88" s="23"/>
      <c r="F88" s="22" t="s">
        <v>7</v>
      </c>
      <c r="G88" s="23"/>
    </row>
    <row r="89" spans="1:8" x14ac:dyDescent="0.2">
      <c r="B89" s="2"/>
      <c r="C89" s="3"/>
      <c r="D89" s="1"/>
      <c r="E89" s="3"/>
      <c r="F89" s="1"/>
      <c r="G89" s="4"/>
    </row>
    <row r="90" spans="1:8" x14ac:dyDescent="0.2">
      <c r="A90" s="20" t="s">
        <v>76</v>
      </c>
      <c r="B90" s="20"/>
      <c r="C90" s="20" t="s">
        <v>12</v>
      </c>
      <c r="D90" s="20"/>
      <c r="E90" s="20" t="s">
        <v>79</v>
      </c>
      <c r="F90" s="20"/>
      <c r="G90" s="20" t="s">
        <v>16</v>
      </c>
      <c r="H90" s="20"/>
    </row>
    <row r="91" spans="1:8" x14ac:dyDescent="0.2">
      <c r="A91" s="20" t="s">
        <v>10</v>
      </c>
      <c r="B91" s="20"/>
      <c r="C91" s="20"/>
      <c r="D91" s="20"/>
      <c r="E91" s="20" t="s">
        <v>81</v>
      </c>
      <c r="F91" s="20"/>
      <c r="G91" s="20" t="s">
        <v>82</v>
      </c>
      <c r="H91" s="20"/>
    </row>
    <row r="92" spans="1:8" x14ac:dyDescent="0.2">
      <c r="A92" s="20" t="s">
        <v>77</v>
      </c>
      <c r="B92" s="20"/>
      <c r="C92" s="20"/>
      <c r="D92" s="20"/>
      <c r="E92" s="20" t="s">
        <v>80</v>
      </c>
      <c r="F92" s="20"/>
      <c r="G92" s="20" t="s">
        <v>18</v>
      </c>
      <c r="H92" s="20"/>
    </row>
    <row r="93" spans="1:8" x14ac:dyDescent="0.2">
      <c r="A93" s="20" t="s">
        <v>78</v>
      </c>
      <c r="B93" s="20"/>
      <c r="C93" s="20"/>
      <c r="D93" s="20"/>
      <c r="E93" s="20"/>
      <c r="F93" s="20"/>
      <c r="G93" s="20"/>
      <c r="H93" s="20"/>
    </row>
    <row r="94" spans="1:8" x14ac:dyDescent="0.2">
      <c r="B94" s="18"/>
      <c r="C94" s="18"/>
      <c r="D94" s="18"/>
      <c r="E94" s="18"/>
      <c r="F94" s="18"/>
      <c r="G94" s="6"/>
      <c r="H94" s="6"/>
    </row>
    <row r="95" spans="1:8" x14ac:dyDescent="0.2">
      <c r="B95" s="18" t="s">
        <v>83</v>
      </c>
      <c r="C95" s="18"/>
      <c r="D95" s="18"/>
      <c r="E95" s="18"/>
      <c r="F95" s="18"/>
      <c r="G95" s="6"/>
      <c r="H95" s="6"/>
    </row>
    <row r="96" spans="1:8" x14ac:dyDescent="0.2">
      <c r="A96" t="s">
        <v>90</v>
      </c>
      <c r="B96" s="18" t="s">
        <v>85</v>
      </c>
      <c r="C96" s="18"/>
      <c r="D96" s="18"/>
      <c r="E96" s="18"/>
      <c r="F96" s="18"/>
      <c r="G96" s="6">
        <f>(100000*0.99)+250</f>
        <v>99250</v>
      </c>
      <c r="H96" s="6"/>
    </row>
    <row r="97" spans="1:8" x14ac:dyDescent="0.2">
      <c r="B97" s="18" t="s">
        <v>86</v>
      </c>
      <c r="C97" s="18"/>
      <c r="D97" s="18"/>
      <c r="E97" s="18"/>
      <c r="F97" s="18"/>
      <c r="G97" s="6">
        <f>100000*9%*1/12</f>
        <v>750</v>
      </c>
      <c r="H97" s="6"/>
    </row>
    <row r="98" spans="1:8" x14ac:dyDescent="0.2">
      <c r="B98" s="19" t="s">
        <v>29</v>
      </c>
      <c r="C98" s="19"/>
      <c r="D98" s="19"/>
      <c r="E98" s="19"/>
      <c r="F98" s="19"/>
      <c r="G98" s="6"/>
      <c r="H98" s="6">
        <f>G96+G97</f>
        <v>100000</v>
      </c>
    </row>
    <row r="99" spans="1:8" x14ac:dyDescent="0.2">
      <c r="B99" s="18" t="s">
        <v>87</v>
      </c>
      <c r="C99" s="18"/>
      <c r="D99" s="18"/>
      <c r="E99" s="18"/>
      <c r="F99" s="18"/>
      <c r="G99" s="6"/>
      <c r="H99" s="6"/>
    </row>
    <row r="100" spans="1:8" x14ac:dyDescent="0.2">
      <c r="B100" s="18" t="s">
        <v>88</v>
      </c>
      <c r="C100" s="18"/>
      <c r="D100" s="18"/>
      <c r="E100" s="18"/>
      <c r="F100" s="18"/>
      <c r="G100" s="6"/>
      <c r="H100" s="6"/>
    </row>
    <row r="101" spans="1:8" x14ac:dyDescent="0.2">
      <c r="B101" s="18" t="s">
        <v>89</v>
      </c>
      <c r="C101" s="18"/>
      <c r="D101" s="18"/>
      <c r="E101" s="18"/>
      <c r="F101" s="18"/>
      <c r="G101" s="6"/>
      <c r="H101" s="6"/>
    </row>
    <row r="102" spans="1:8" x14ac:dyDescent="0.2">
      <c r="B102" s="18"/>
      <c r="C102" s="18"/>
      <c r="D102" s="18"/>
      <c r="E102" s="18"/>
      <c r="F102" s="18"/>
      <c r="G102" s="6"/>
      <c r="H102" s="6"/>
    </row>
    <row r="103" spans="1:8" x14ac:dyDescent="0.2">
      <c r="B103" s="18" t="s">
        <v>2</v>
      </c>
      <c r="C103" s="18"/>
      <c r="D103" s="18"/>
      <c r="E103" s="18"/>
      <c r="F103" s="18"/>
    </row>
    <row r="104" spans="1:8" x14ac:dyDescent="0.2">
      <c r="A104" t="s">
        <v>95</v>
      </c>
      <c r="B104" s="18" t="s">
        <v>21</v>
      </c>
      <c r="C104" s="18"/>
      <c r="D104" s="18"/>
      <c r="E104" s="18"/>
      <c r="F104" s="18"/>
      <c r="G104" s="6">
        <f>H105+H106</f>
        <v>4500</v>
      </c>
      <c r="H104" s="6"/>
    </row>
    <row r="105" spans="1:8" x14ac:dyDescent="0.2">
      <c r="B105" s="19" t="s">
        <v>91</v>
      </c>
      <c r="C105" s="19"/>
      <c r="D105" s="19"/>
      <c r="E105" s="19"/>
      <c r="F105" s="19"/>
      <c r="G105" s="6"/>
      <c r="H105" s="6">
        <f>100000*9%*5/12</f>
        <v>3750</v>
      </c>
    </row>
    <row r="106" spans="1:8" x14ac:dyDescent="0.2">
      <c r="B106" s="19" t="s">
        <v>92</v>
      </c>
      <c r="C106" s="19"/>
      <c r="D106" s="19"/>
      <c r="E106" s="19"/>
      <c r="F106" s="19"/>
      <c r="G106" s="6"/>
      <c r="H106" s="6">
        <f>G97</f>
        <v>750</v>
      </c>
    </row>
    <row r="107" spans="1:8" x14ac:dyDescent="0.2">
      <c r="B107" s="18" t="s">
        <v>93</v>
      </c>
      <c r="C107" s="18"/>
      <c r="D107" s="18"/>
      <c r="E107" s="18"/>
      <c r="F107" s="18"/>
      <c r="G107" s="6"/>
      <c r="H107" s="6"/>
    </row>
    <row r="108" spans="1:8" x14ac:dyDescent="0.2">
      <c r="B108" s="18" t="s">
        <v>94</v>
      </c>
      <c r="C108" s="18"/>
      <c r="D108" s="18"/>
      <c r="E108" s="18"/>
      <c r="F108" s="18"/>
      <c r="G108" s="6"/>
      <c r="H108" s="6"/>
    </row>
    <row r="109" spans="1:8" x14ac:dyDescent="0.2">
      <c r="B109" s="18"/>
      <c r="C109" s="18"/>
      <c r="D109" s="18"/>
      <c r="E109" s="18"/>
      <c r="F109" s="18"/>
      <c r="G109" s="6"/>
      <c r="H109" s="6"/>
    </row>
    <row r="110" spans="1:8" x14ac:dyDescent="0.2">
      <c r="B110" s="18" t="s">
        <v>33</v>
      </c>
      <c r="C110" s="18"/>
      <c r="D110" s="18"/>
      <c r="E110" s="18"/>
      <c r="F110" s="18"/>
      <c r="G110" s="6"/>
      <c r="H110" s="6"/>
    </row>
    <row r="111" spans="1:8" x14ac:dyDescent="0.2">
      <c r="A111" t="s">
        <v>103</v>
      </c>
      <c r="B111" s="18" t="s">
        <v>21</v>
      </c>
      <c r="C111" s="18"/>
      <c r="D111" s="18"/>
      <c r="E111" s="18"/>
      <c r="F111" s="18"/>
      <c r="G111" s="6">
        <f>((100000*0.5*1.01)-100)+H112</f>
        <v>51150</v>
      </c>
      <c r="H111" s="6"/>
    </row>
    <row r="112" spans="1:8" x14ac:dyDescent="0.2">
      <c r="B112" s="19" t="s">
        <v>92</v>
      </c>
      <c r="C112" s="19"/>
      <c r="D112" s="19"/>
      <c r="E112" s="19"/>
      <c r="F112" s="19"/>
      <c r="G112" s="6"/>
      <c r="H112" s="6">
        <f>100000*0.5*9%*2/12</f>
        <v>750</v>
      </c>
    </row>
    <row r="113" spans="1:8" x14ac:dyDescent="0.2">
      <c r="B113" s="19" t="s">
        <v>96</v>
      </c>
      <c r="C113" s="19"/>
      <c r="D113" s="19"/>
      <c r="E113" s="19"/>
      <c r="F113" s="19"/>
      <c r="G113" s="6"/>
      <c r="H113" s="6">
        <f>G96*0.5</f>
        <v>49625</v>
      </c>
    </row>
    <row r="114" spans="1:8" x14ac:dyDescent="0.2">
      <c r="B114" s="19" t="s">
        <v>97</v>
      </c>
      <c r="C114" s="19"/>
      <c r="D114" s="19"/>
      <c r="E114" s="19"/>
      <c r="F114" s="19"/>
      <c r="G114" s="6"/>
      <c r="H114" s="6">
        <f>G111-H112-H113</f>
        <v>775</v>
      </c>
    </row>
    <row r="115" spans="1:8" x14ac:dyDescent="0.2">
      <c r="B115" s="18" t="s">
        <v>100</v>
      </c>
      <c r="C115" s="18"/>
      <c r="D115" s="18"/>
      <c r="E115" s="18"/>
      <c r="F115" s="18"/>
      <c r="G115" s="6"/>
      <c r="H115" s="6"/>
    </row>
    <row r="116" spans="1:8" x14ac:dyDescent="0.2">
      <c r="B116" s="18" t="s">
        <v>101</v>
      </c>
      <c r="C116" s="18"/>
      <c r="D116" s="18"/>
      <c r="E116" s="18"/>
      <c r="F116" s="18"/>
      <c r="G116" s="6"/>
      <c r="H116" s="6"/>
    </row>
    <row r="117" spans="1:8" x14ac:dyDescent="0.2">
      <c r="B117" s="18" t="s">
        <v>98</v>
      </c>
      <c r="C117" s="18"/>
      <c r="D117" s="18"/>
      <c r="E117" s="18"/>
      <c r="F117" s="18"/>
      <c r="G117" s="6"/>
      <c r="H117" s="6"/>
    </row>
    <row r="118" spans="1:8" x14ac:dyDescent="0.2">
      <c r="B118" s="5" t="s">
        <v>102</v>
      </c>
      <c r="C118" s="5"/>
      <c r="D118" s="5"/>
      <c r="E118" s="5"/>
      <c r="F118" s="5"/>
      <c r="G118" s="6"/>
      <c r="H118" s="6"/>
    </row>
    <row r="119" spans="1:8" x14ac:dyDescent="0.2">
      <c r="B119" s="18" t="s">
        <v>99</v>
      </c>
      <c r="C119" s="18"/>
      <c r="D119" s="18"/>
      <c r="E119" s="18"/>
      <c r="F119" s="18"/>
      <c r="G119" s="6"/>
      <c r="H119" s="6"/>
    </row>
    <row r="120" spans="1:8" x14ac:dyDescent="0.2">
      <c r="G120" s="6"/>
      <c r="H120" s="6"/>
    </row>
    <row r="121" spans="1:8" x14ac:dyDescent="0.2">
      <c r="B121" s="18" t="s">
        <v>44</v>
      </c>
      <c r="C121" s="18"/>
      <c r="D121" s="18"/>
      <c r="E121" s="18"/>
      <c r="F121" s="18"/>
      <c r="G121" s="6"/>
      <c r="H121" s="6"/>
    </row>
    <row r="122" spans="1:8" x14ac:dyDescent="0.2">
      <c r="A122" t="s">
        <v>105</v>
      </c>
      <c r="B122" s="18" t="s">
        <v>86</v>
      </c>
      <c r="C122" s="18"/>
      <c r="D122" s="18"/>
      <c r="E122" s="18"/>
      <c r="F122" s="18"/>
      <c r="G122" s="6">
        <f>50000*9%*6/12</f>
        <v>2250</v>
      </c>
      <c r="H122" s="6"/>
    </row>
    <row r="123" spans="1:8" x14ac:dyDescent="0.2">
      <c r="B123" s="19" t="s">
        <v>92</v>
      </c>
      <c r="C123" s="19"/>
      <c r="D123" s="19"/>
      <c r="E123" s="19"/>
      <c r="F123" s="19"/>
      <c r="G123" s="6"/>
      <c r="H123" s="6">
        <f>G122</f>
        <v>2250</v>
      </c>
    </row>
    <row r="124" spans="1:8" x14ac:dyDescent="0.2">
      <c r="B124" s="18" t="s">
        <v>104</v>
      </c>
      <c r="C124" s="18"/>
      <c r="D124" s="18"/>
      <c r="E124" s="18"/>
      <c r="F124" s="18"/>
      <c r="G124" s="6"/>
      <c r="H124" s="6"/>
    </row>
    <row r="125" spans="1:8" x14ac:dyDescent="0.2">
      <c r="B125" s="18"/>
      <c r="C125" s="18"/>
      <c r="D125" s="18"/>
      <c r="E125" s="18"/>
      <c r="F125" s="18"/>
      <c r="G125" s="6"/>
      <c r="H125" s="6"/>
    </row>
    <row r="126" spans="1:8" x14ac:dyDescent="0.2">
      <c r="G126" s="6"/>
      <c r="H126" s="6"/>
    </row>
    <row r="127" spans="1:8" x14ac:dyDescent="0.2">
      <c r="G127" s="6"/>
      <c r="H127" s="6"/>
    </row>
    <row r="128" spans="1:8" x14ac:dyDescent="0.2">
      <c r="B128" s="18"/>
      <c r="C128" s="18"/>
      <c r="D128" s="18"/>
      <c r="E128" s="18"/>
      <c r="F128" s="18"/>
      <c r="G128" s="6"/>
      <c r="H128" s="6"/>
    </row>
    <row r="129" spans="1:8" x14ac:dyDescent="0.2">
      <c r="A129" t="s">
        <v>115</v>
      </c>
      <c r="B129" s="18" t="s">
        <v>106</v>
      </c>
      <c r="C129" s="18"/>
      <c r="D129" s="18"/>
      <c r="E129" s="18"/>
      <c r="F129" s="18"/>
      <c r="G129" s="6">
        <f>(G96*0.5)-((50000*0.74622)+(50000*9%*6/12*5.07569))</f>
        <v>893.69750000000204</v>
      </c>
      <c r="H129" s="6"/>
    </row>
    <row r="130" spans="1:8" x14ac:dyDescent="0.2">
      <c r="B130" s="19" t="s">
        <v>107</v>
      </c>
      <c r="C130" s="19"/>
      <c r="D130" s="19"/>
      <c r="E130" s="19"/>
      <c r="F130" s="19"/>
      <c r="G130" s="6"/>
      <c r="H130" s="6">
        <f>G129</f>
        <v>893.69750000000204</v>
      </c>
    </row>
    <row r="131" spans="1:8" x14ac:dyDescent="0.2">
      <c r="B131" s="18" t="s">
        <v>108</v>
      </c>
      <c r="C131" s="18"/>
      <c r="D131" s="18"/>
      <c r="E131" s="18"/>
      <c r="F131" s="18"/>
      <c r="G131" s="6"/>
      <c r="H131" s="6"/>
    </row>
    <row r="132" spans="1:8" x14ac:dyDescent="0.2">
      <c r="B132" s="18" t="s">
        <v>109</v>
      </c>
      <c r="C132" s="18"/>
      <c r="D132" s="18"/>
      <c r="E132" s="18"/>
      <c r="F132" s="18"/>
      <c r="G132" s="6"/>
      <c r="H132" s="6"/>
    </row>
    <row r="133" spans="1:8" x14ac:dyDescent="0.2">
      <c r="B133" s="18" t="s">
        <v>110</v>
      </c>
      <c r="C133" s="18"/>
      <c r="D133" s="18"/>
      <c r="E133" s="18"/>
      <c r="F133" s="18"/>
      <c r="G133" s="6"/>
      <c r="H133" s="6"/>
    </row>
    <row r="134" spans="1:8" x14ac:dyDescent="0.2">
      <c r="B134" s="18" t="s">
        <v>111</v>
      </c>
      <c r="C134" s="18"/>
      <c r="D134" s="18"/>
      <c r="E134" s="18"/>
      <c r="F134" s="18"/>
      <c r="G134" s="6"/>
      <c r="H134" s="6"/>
    </row>
    <row r="135" spans="1:8" x14ac:dyDescent="0.2">
      <c r="B135" s="18" t="s">
        <v>112</v>
      </c>
      <c r="C135" s="18"/>
      <c r="D135" s="18"/>
      <c r="E135" s="18"/>
      <c r="F135" s="18"/>
      <c r="G135" s="6"/>
      <c r="H135" s="6"/>
    </row>
    <row r="136" spans="1:8" x14ac:dyDescent="0.2">
      <c r="B136" s="18"/>
      <c r="C136" s="18"/>
      <c r="D136" s="18"/>
      <c r="E136" s="18"/>
      <c r="F136" s="18"/>
      <c r="G136" s="6"/>
      <c r="H136" s="6"/>
    </row>
    <row r="137" spans="1:8" x14ac:dyDescent="0.2">
      <c r="B137" s="21" t="s">
        <v>113</v>
      </c>
      <c r="C137" s="21"/>
      <c r="D137" s="21"/>
      <c r="E137" s="21"/>
      <c r="F137" s="21"/>
      <c r="G137" s="6"/>
      <c r="H137" s="6"/>
    </row>
    <row r="138" spans="1:8" x14ac:dyDescent="0.2">
      <c r="B138" s="18"/>
      <c r="C138" s="18"/>
      <c r="D138" s="18"/>
      <c r="E138" s="1"/>
      <c r="F138" s="1"/>
      <c r="G138" s="24" t="s">
        <v>113</v>
      </c>
      <c r="H138" s="24"/>
    </row>
    <row r="139" spans="1:8" x14ac:dyDescent="0.2">
      <c r="B139" s="18" t="s">
        <v>114</v>
      </c>
      <c r="C139" s="18"/>
      <c r="D139" s="18"/>
      <c r="E139" s="1"/>
      <c r="F139" s="1"/>
      <c r="G139" s="7">
        <v>400</v>
      </c>
      <c r="H139" s="6" t="s">
        <v>118</v>
      </c>
    </row>
    <row r="140" spans="1:8" x14ac:dyDescent="0.2">
      <c r="A140" t="s">
        <v>125</v>
      </c>
      <c r="B140" s="18" t="s">
        <v>116</v>
      </c>
      <c r="C140" s="18"/>
      <c r="D140" s="18"/>
      <c r="E140" s="16">
        <f>(400*43.1)+400</f>
        <v>17640</v>
      </c>
      <c r="F140" s="16"/>
      <c r="G140" s="15">
        <f>G139*0.05</f>
        <v>20</v>
      </c>
      <c r="H140" s="14" t="s">
        <v>123</v>
      </c>
    </row>
    <row r="141" spans="1:8" x14ac:dyDescent="0.2">
      <c r="B141" s="19" t="s">
        <v>29</v>
      </c>
      <c r="C141" s="19"/>
      <c r="D141" s="19"/>
      <c r="E141" s="16"/>
      <c r="F141" s="16">
        <f>E140</f>
        <v>17640</v>
      </c>
      <c r="G141" s="7">
        <f>G139+G140</f>
        <v>420</v>
      </c>
      <c r="H141" s="6" t="s">
        <v>48</v>
      </c>
    </row>
    <row r="142" spans="1:8" x14ac:dyDescent="0.2">
      <c r="B142" s="18" t="s">
        <v>117</v>
      </c>
      <c r="C142" s="18"/>
      <c r="D142" s="18"/>
      <c r="E142" s="16"/>
      <c r="F142" s="16"/>
      <c r="G142" s="15" t="s">
        <v>132</v>
      </c>
      <c r="H142" s="14">
        <f>G141*0.6</f>
        <v>252</v>
      </c>
    </row>
    <row r="143" spans="1:8" x14ac:dyDescent="0.2">
      <c r="B143" s="18"/>
      <c r="C143" s="18"/>
      <c r="D143" s="18"/>
      <c r="E143" s="16"/>
      <c r="F143" s="16"/>
      <c r="G143" s="7">
        <f>G141-H142</f>
        <v>168</v>
      </c>
      <c r="H143" s="6" t="s">
        <v>48</v>
      </c>
    </row>
    <row r="144" spans="1:8" x14ac:dyDescent="0.2">
      <c r="B144" s="18" t="s">
        <v>119</v>
      </c>
      <c r="C144" s="18"/>
      <c r="D144" s="18"/>
      <c r="E144" s="16"/>
      <c r="F144" s="16"/>
      <c r="G144" s="6"/>
      <c r="H144" s="6"/>
    </row>
    <row r="145" spans="1:8" x14ac:dyDescent="0.2">
      <c r="B145" s="18" t="s">
        <v>120</v>
      </c>
      <c r="C145" s="18"/>
      <c r="D145" s="18"/>
      <c r="E145" s="16"/>
      <c r="F145" s="16"/>
      <c r="G145" s="6"/>
      <c r="H145" s="6"/>
    </row>
    <row r="146" spans="1:8" x14ac:dyDescent="0.2">
      <c r="B146" s="18"/>
      <c r="C146" s="18"/>
      <c r="D146" s="18"/>
      <c r="E146" s="16"/>
      <c r="F146" s="16"/>
      <c r="G146" s="6"/>
      <c r="H146" s="6"/>
    </row>
    <row r="147" spans="1:8" x14ac:dyDescent="0.2">
      <c r="B147" s="18" t="s">
        <v>121</v>
      </c>
      <c r="C147" s="18"/>
      <c r="D147" s="18"/>
      <c r="E147" s="16"/>
      <c r="F147" s="16"/>
      <c r="G147" s="6"/>
      <c r="H147" s="6"/>
    </row>
    <row r="148" spans="1:8" x14ac:dyDescent="0.2">
      <c r="B148" s="18" t="s">
        <v>120</v>
      </c>
      <c r="C148" s="18"/>
      <c r="D148" s="18"/>
      <c r="E148" s="16"/>
      <c r="F148" s="16"/>
      <c r="G148" s="6"/>
      <c r="H148" s="6"/>
    </row>
    <row r="149" spans="1:8" x14ac:dyDescent="0.2">
      <c r="B149" s="18" t="s">
        <v>122</v>
      </c>
      <c r="C149" s="18"/>
      <c r="D149" s="18"/>
      <c r="E149" s="16"/>
      <c r="F149" s="16"/>
      <c r="G149" s="6"/>
      <c r="H149" s="6"/>
    </row>
    <row r="150" spans="1:8" x14ac:dyDescent="0.2">
      <c r="B150" s="18"/>
      <c r="C150" s="18"/>
      <c r="D150" s="18"/>
      <c r="E150" s="16"/>
      <c r="F150" s="16"/>
      <c r="G150" s="6"/>
      <c r="H150" s="6"/>
    </row>
    <row r="151" spans="1:8" x14ac:dyDescent="0.2">
      <c r="B151" s="18" t="s">
        <v>124</v>
      </c>
      <c r="C151" s="18"/>
      <c r="D151" s="18"/>
      <c r="E151" s="16"/>
      <c r="F151" s="16"/>
      <c r="G151" s="6"/>
      <c r="H151" s="6"/>
    </row>
    <row r="152" spans="1:8" x14ac:dyDescent="0.2">
      <c r="A152" t="s">
        <v>133</v>
      </c>
      <c r="B152" s="18" t="s">
        <v>126</v>
      </c>
      <c r="C152" s="18"/>
      <c r="D152" s="18"/>
      <c r="E152" s="16">
        <f>((G141*0.6*46.5)-250)</f>
        <v>11468</v>
      </c>
      <c r="F152" s="16"/>
      <c r="G152" s="6"/>
      <c r="H152" s="6"/>
    </row>
    <row r="153" spans="1:8" x14ac:dyDescent="0.2">
      <c r="B153" s="19" t="s">
        <v>97</v>
      </c>
      <c r="C153" s="19"/>
      <c r="D153" s="19"/>
      <c r="E153" s="16"/>
      <c r="F153" s="16">
        <f>E152-F154</f>
        <v>884</v>
      </c>
      <c r="G153" s="6"/>
      <c r="H153" s="6"/>
    </row>
    <row r="154" spans="1:8" x14ac:dyDescent="0.2">
      <c r="B154" s="19" t="s">
        <v>127</v>
      </c>
      <c r="C154" s="19"/>
      <c r="D154" s="19"/>
      <c r="E154" s="16"/>
      <c r="F154" s="16">
        <f>E140*0.6</f>
        <v>10584</v>
      </c>
      <c r="G154" s="6"/>
      <c r="H154" s="6"/>
    </row>
    <row r="155" spans="1:8" x14ac:dyDescent="0.2">
      <c r="B155" s="18" t="s">
        <v>128</v>
      </c>
      <c r="C155" s="18"/>
      <c r="D155" s="18"/>
      <c r="E155" s="16"/>
      <c r="F155" s="16"/>
      <c r="G155" s="6"/>
      <c r="H155" s="6"/>
    </row>
    <row r="156" spans="1:8" x14ac:dyDescent="0.2">
      <c r="B156" s="18" t="s">
        <v>129</v>
      </c>
      <c r="C156" s="18"/>
      <c r="D156" s="18"/>
      <c r="E156" s="16"/>
      <c r="F156" s="16"/>
      <c r="G156" s="6"/>
      <c r="H156" s="6"/>
    </row>
    <row r="157" spans="1:8" x14ac:dyDescent="0.2">
      <c r="B157" s="18" t="s">
        <v>130</v>
      </c>
      <c r="C157" s="18"/>
      <c r="D157" s="18"/>
      <c r="E157" s="16"/>
      <c r="F157" s="16"/>
      <c r="G157" s="6"/>
      <c r="H157" s="6"/>
    </row>
    <row r="158" spans="1:8" x14ac:dyDescent="0.2">
      <c r="B158" s="18" t="s">
        <v>131</v>
      </c>
      <c r="C158" s="18"/>
      <c r="D158" s="18"/>
      <c r="E158" s="16"/>
      <c r="F158" s="16"/>
      <c r="G158" s="6"/>
      <c r="H158" s="6"/>
    </row>
    <row r="159" spans="1:8" x14ac:dyDescent="0.2">
      <c r="B159" s="18"/>
      <c r="C159" s="18"/>
      <c r="D159" s="18"/>
      <c r="E159" s="16"/>
      <c r="F159" s="16"/>
      <c r="G159" s="6"/>
      <c r="H159" s="6"/>
    </row>
    <row r="160" spans="1:8" x14ac:dyDescent="0.2">
      <c r="B160" s="18" t="s">
        <v>44</v>
      </c>
      <c r="C160" s="18"/>
      <c r="D160" s="18"/>
      <c r="E160" s="16"/>
      <c r="F160" s="16"/>
      <c r="G160" s="6"/>
      <c r="H160" s="6"/>
    </row>
    <row r="161" spans="1:8" x14ac:dyDescent="0.2">
      <c r="A161" t="s">
        <v>144</v>
      </c>
      <c r="B161" s="18" t="s">
        <v>134</v>
      </c>
      <c r="C161" s="18"/>
      <c r="D161" s="18"/>
      <c r="E161" s="16">
        <f>(G143*45.5)-(E140*0.4)</f>
        <v>588</v>
      </c>
      <c r="F161" s="16"/>
      <c r="G161" s="6"/>
      <c r="H161" s="6"/>
    </row>
    <row r="162" spans="1:8" x14ac:dyDescent="0.2">
      <c r="B162" s="19" t="s">
        <v>135</v>
      </c>
      <c r="C162" s="19"/>
      <c r="D162" s="19"/>
      <c r="E162" s="16"/>
      <c r="F162" s="16">
        <f>E161</f>
        <v>588</v>
      </c>
      <c r="G162" s="6"/>
      <c r="H162" s="6"/>
    </row>
    <row r="163" spans="1:8" x14ac:dyDescent="0.2">
      <c r="B163" s="18" t="s">
        <v>136</v>
      </c>
      <c r="C163" s="18"/>
      <c r="D163" s="18"/>
      <c r="E163" s="16"/>
      <c r="F163" s="16"/>
      <c r="G163" s="6"/>
      <c r="H163" s="6"/>
    </row>
    <row r="164" spans="1:8" x14ac:dyDescent="0.2">
      <c r="B164" s="18" t="s">
        <v>137</v>
      </c>
      <c r="C164" s="18"/>
      <c r="D164" s="18"/>
      <c r="E164" s="16"/>
      <c r="F164" s="16"/>
      <c r="G164" s="6"/>
      <c r="H164" s="6"/>
    </row>
    <row r="165" spans="1:8" x14ac:dyDescent="0.2">
      <c r="B165" s="18" t="s">
        <v>138</v>
      </c>
      <c r="C165" s="18"/>
      <c r="D165" s="18"/>
      <c r="E165" s="16"/>
      <c r="F165" s="16"/>
      <c r="G165" s="6"/>
      <c r="H165" s="6"/>
    </row>
    <row r="166" spans="1:8" x14ac:dyDescent="0.2">
      <c r="B166" s="18"/>
      <c r="C166" s="18"/>
      <c r="D166" s="18"/>
      <c r="E166" s="16"/>
      <c r="F166" s="16"/>
      <c r="G166" s="6"/>
      <c r="H166" s="6"/>
    </row>
    <row r="167" spans="1:8" x14ac:dyDescent="0.2">
      <c r="B167" s="18"/>
      <c r="C167" s="18"/>
      <c r="D167" s="18"/>
      <c r="E167" s="18"/>
      <c r="F167" s="18"/>
      <c r="G167" s="6"/>
      <c r="H167" s="6"/>
    </row>
    <row r="168" spans="1:8" x14ac:dyDescent="0.2">
      <c r="B168" s="18"/>
      <c r="C168" s="18"/>
      <c r="D168" s="18"/>
      <c r="E168" s="18"/>
      <c r="F168" s="18"/>
      <c r="G168" s="6"/>
      <c r="H168" s="6"/>
    </row>
    <row r="169" spans="1:8" x14ac:dyDescent="0.2">
      <c r="B169" s="18"/>
      <c r="C169" s="18"/>
      <c r="D169" s="18"/>
      <c r="E169" s="18"/>
      <c r="F169" s="18"/>
      <c r="G169" s="6"/>
      <c r="H169" s="6"/>
    </row>
    <row r="170" spans="1:8" x14ac:dyDescent="0.2">
      <c r="B170" s="18"/>
      <c r="C170" s="18"/>
      <c r="D170" s="18"/>
      <c r="E170" s="18"/>
      <c r="F170" s="18"/>
      <c r="G170" s="6"/>
      <c r="H170" s="6"/>
    </row>
    <row r="171" spans="1:8" x14ac:dyDescent="0.2">
      <c r="B171" s="18"/>
      <c r="C171" s="18"/>
      <c r="D171" s="18"/>
      <c r="E171" s="18"/>
      <c r="F171" s="18"/>
      <c r="G171" s="6"/>
      <c r="H171" s="6"/>
    </row>
    <row r="172" spans="1:8" x14ac:dyDescent="0.2">
      <c r="B172" s="18"/>
      <c r="C172" s="18"/>
      <c r="D172" s="18"/>
      <c r="E172" s="18"/>
      <c r="F172" s="18"/>
      <c r="G172" s="6"/>
      <c r="H172" s="6"/>
    </row>
    <row r="173" spans="1:8" x14ac:dyDescent="0.2">
      <c r="B173" s="18"/>
      <c r="C173" s="18"/>
      <c r="D173" s="18"/>
      <c r="E173" s="18"/>
      <c r="F173" s="18"/>
      <c r="G173" s="6"/>
      <c r="H173" s="6"/>
    </row>
    <row r="174" spans="1:8" x14ac:dyDescent="0.2">
      <c r="B174" s="18"/>
      <c r="C174" s="18"/>
      <c r="D174" s="18"/>
      <c r="E174" s="18"/>
      <c r="F174" s="18"/>
      <c r="G174" s="6"/>
      <c r="H174" s="6"/>
    </row>
    <row r="175" spans="1:8" x14ac:dyDescent="0.2">
      <c r="B175" s="18"/>
      <c r="C175" s="18"/>
      <c r="D175" s="18"/>
      <c r="E175" s="18"/>
      <c r="F175" s="18"/>
      <c r="G175" s="6"/>
      <c r="H175" s="6"/>
    </row>
    <row r="176" spans="1:8" x14ac:dyDescent="0.2">
      <c r="B176" s="18"/>
      <c r="C176" s="18"/>
      <c r="D176" s="18"/>
      <c r="E176" s="18"/>
      <c r="F176" s="18"/>
      <c r="G176" s="6"/>
      <c r="H176" s="6"/>
    </row>
    <row r="177" spans="2:8" x14ac:dyDescent="0.2">
      <c r="B177" s="18"/>
      <c r="C177" s="18"/>
      <c r="D177" s="18"/>
      <c r="E177" s="18"/>
      <c r="F177" s="18"/>
      <c r="G177" s="6"/>
      <c r="H177" s="6"/>
    </row>
    <row r="178" spans="2:8" x14ac:dyDescent="0.2">
      <c r="B178" s="18"/>
      <c r="C178" s="18"/>
      <c r="D178" s="18"/>
      <c r="E178" s="18"/>
      <c r="F178" s="18"/>
      <c r="G178" s="6"/>
      <c r="H178" s="6"/>
    </row>
    <row r="179" spans="2:8" x14ac:dyDescent="0.2">
      <c r="B179" s="18"/>
      <c r="C179" s="18"/>
      <c r="D179" s="18"/>
      <c r="E179" s="18"/>
      <c r="F179" s="18"/>
      <c r="G179" s="6"/>
      <c r="H179" s="6"/>
    </row>
    <row r="180" spans="2:8" x14ac:dyDescent="0.2">
      <c r="B180" s="18"/>
      <c r="C180" s="18"/>
      <c r="D180" s="18"/>
      <c r="E180" s="18"/>
      <c r="F180" s="18"/>
      <c r="G180" s="6"/>
      <c r="H180" s="6"/>
    </row>
    <row r="181" spans="2:8" x14ac:dyDescent="0.2">
      <c r="B181" s="18"/>
      <c r="C181" s="18"/>
      <c r="D181" s="18"/>
      <c r="E181" s="18"/>
      <c r="F181" s="18"/>
      <c r="G181" s="6"/>
      <c r="H181" s="6"/>
    </row>
    <row r="182" spans="2:8" x14ac:dyDescent="0.2">
      <c r="B182" s="18"/>
      <c r="C182" s="18"/>
      <c r="D182" s="18"/>
      <c r="E182" s="18"/>
      <c r="F182" s="18"/>
      <c r="G182" s="6"/>
      <c r="H182" s="6"/>
    </row>
    <row r="183" spans="2:8" x14ac:dyDescent="0.2">
      <c r="B183" s="18"/>
      <c r="C183" s="18"/>
      <c r="D183" s="18"/>
      <c r="E183" s="18"/>
      <c r="F183" s="18"/>
      <c r="G183" s="6"/>
      <c r="H183" s="6"/>
    </row>
    <row r="184" spans="2:8" x14ac:dyDescent="0.2">
      <c r="B184" s="18"/>
      <c r="C184" s="18"/>
      <c r="D184" s="18"/>
      <c r="E184" s="18"/>
      <c r="F184" s="18"/>
      <c r="G184" s="6"/>
      <c r="H184" s="6"/>
    </row>
    <row r="185" spans="2:8" x14ac:dyDescent="0.2">
      <c r="B185" s="18"/>
      <c r="C185" s="18"/>
      <c r="D185" s="18"/>
      <c r="E185" s="18"/>
      <c r="F185" s="18"/>
      <c r="G185" s="6"/>
      <c r="H185" s="6"/>
    </row>
    <row r="186" spans="2:8" x14ac:dyDescent="0.2">
      <c r="B186" s="18"/>
      <c r="C186" s="18"/>
      <c r="D186" s="18"/>
      <c r="E186" s="18"/>
      <c r="F186" s="18"/>
      <c r="G186" s="6"/>
      <c r="H186" s="6"/>
    </row>
    <row r="187" spans="2:8" x14ac:dyDescent="0.2">
      <c r="B187" s="18"/>
      <c r="C187" s="18"/>
      <c r="D187" s="18"/>
      <c r="E187" s="18"/>
      <c r="F187" s="18"/>
      <c r="G187" s="6"/>
      <c r="H187" s="6"/>
    </row>
    <row r="188" spans="2:8" x14ac:dyDescent="0.2">
      <c r="B188" s="18"/>
      <c r="C188" s="18"/>
      <c r="D188" s="18"/>
      <c r="E188" s="18"/>
      <c r="F188" s="18"/>
      <c r="G188" s="6"/>
      <c r="H188" s="6"/>
    </row>
    <row r="189" spans="2:8" x14ac:dyDescent="0.2">
      <c r="B189" s="18"/>
      <c r="C189" s="18"/>
      <c r="D189" s="18"/>
      <c r="E189" s="18"/>
      <c r="F189" s="18"/>
      <c r="G189" s="6"/>
      <c r="H189" s="6"/>
    </row>
    <row r="190" spans="2:8" x14ac:dyDescent="0.2">
      <c r="B190" s="18"/>
      <c r="C190" s="18"/>
      <c r="D190" s="18"/>
      <c r="E190" s="18"/>
      <c r="F190" s="18"/>
      <c r="G190" s="6"/>
      <c r="H190" s="6"/>
    </row>
    <row r="191" spans="2:8" x14ac:dyDescent="0.2">
      <c r="B191" s="18"/>
      <c r="C191" s="18"/>
      <c r="D191" s="18"/>
      <c r="E191" s="18"/>
      <c r="F191" s="18"/>
      <c r="G191" s="6"/>
      <c r="H191" s="6"/>
    </row>
    <row r="192" spans="2:8" x14ac:dyDescent="0.2">
      <c r="B192" s="18"/>
      <c r="C192" s="18"/>
      <c r="D192" s="18"/>
      <c r="E192" s="18"/>
      <c r="F192" s="18"/>
      <c r="G192" s="6"/>
      <c r="H192" s="6"/>
    </row>
    <row r="193" spans="2:8" x14ac:dyDescent="0.2">
      <c r="B193" s="18"/>
      <c r="C193" s="18"/>
      <c r="D193" s="18"/>
      <c r="E193" s="18"/>
      <c r="F193" s="18"/>
      <c r="G193" s="6"/>
      <c r="H193" s="6"/>
    </row>
    <row r="194" spans="2:8" x14ac:dyDescent="0.2">
      <c r="B194" s="18"/>
      <c r="C194" s="18"/>
      <c r="D194" s="18"/>
      <c r="E194" s="18"/>
      <c r="F194" s="18"/>
      <c r="G194" s="6"/>
      <c r="H194" s="6"/>
    </row>
    <row r="195" spans="2:8" x14ac:dyDescent="0.2">
      <c r="B195" s="18"/>
      <c r="C195" s="18"/>
      <c r="D195" s="18"/>
      <c r="E195" s="18"/>
      <c r="F195" s="18"/>
      <c r="G195" s="6"/>
      <c r="H195" s="6"/>
    </row>
    <row r="196" spans="2:8" x14ac:dyDescent="0.2">
      <c r="B196" s="18"/>
      <c r="C196" s="18"/>
      <c r="D196" s="18"/>
      <c r="E196" s="18"/>
      <c r="F196" s="18"/>
      <c r="G196" s="6"/>
      <c r="H196" s="6"/>
    </row>
    <row r="197" spans="2:8" x14ac:dyDescent="0.2">
      <c r="B197" s="18"/>
      <c r="C197" s="18"/>
      <c r="D197" s="18"/>
      <c r="E197" s="18"/>
      <c r="F197" s="18"/>
      <c r="G197" s="6"/>
      <c r="H197" s="6"/>
    </row>
    <row r="198" spans="2:8" x14ac:dyDescent="0.2">
      <c r="B198" s="18"/>
      <c r="C198" s="18"/>
      <c r="D198" s="18"/>
      <c r="E198" s="18"/>
      <c r="F198" s="18"/>
      <c r="G198" s="6"/>
      <c r="H198" s="6"/>
    </row>
    <row r="199" spans="2:8" x14ac:dyDescent="0.2">
      <c r="B199" s="18"/>
      <c r="C199" s="18"/>
      <c r="D199" s="18"/>
      <c r="E199" s="18"/>
      <c r="F199" s="18"/>
      <c r="G199" s="6"/>
      <c r="H199" s="6"/>
    </row>
    <row r="200" spans="2:8" x14ac:dyDescent="0.2">
      <c r="B200" s="18"/>
      <c r="C200" s="18"/>
      <c r="D200" s="18"/>
      <c r="E200" s="18"/>
      <c r="F200" s="18"/>
      <c r="G200" s="6"/>
      <c r="H200" s="6"/>
    </row>
    <row r="201" spans="2:8" x14ac:dyDescent="0.2">
      <c r="B201" s="18"/>
      <c r="C201" s="18"/>
      <c r="D201" s="18"/>
      <c r="E201" s="18"/>
      <c r="F201" s="18"/>
      <c r="G201" s="6"/>
      <c r="H201" s="6"/>
    </row>
    <row r="202" spans="2:8" x14ac:dyDescent="0.2">
      <c r="B202" s="18"/>
      <c r="C202" s="18"/>
      <c r="D202" s="18"/>
      <c r="E202" s="18"/>
      <c r="F202" s="18"/>
      <c r="G202" s="6"/>
      <c r="H202" s="6"/>
    </row>
    <row r="203" spans="2:8" x14ac:dyDescent="0.2">
      <c r="B203" s="18"/>
      <c r="C203" s="18"/>
      <c r="D203" s="18"/>
      <c r="E203" s="18"/>
      <c r="F203" s="18"/>
      <c r="G203" s="6"/>
      <c r="H203" s="6"/>
    </row>
    <row r="204" spans="2:8" x14ac:dyDescent="0.2">
      <c r="B204" s="18"/>
      <c r="C204" s="18"/>
      <c r="D204" s="18"/>
      <c r="E204" s="18"/>
      <c r="F204" s="18"/>
      <c r="G204" s="6"/>
      <c r="H204" s="6"/>
    </row>
    <row r="205" spans="2:8" x14ac:dyDescent="0.2">
      <c r="B205" s="18"/>
      <c r="C205" s="18"/>
      <c r="D205" s="18"/>
      <c r="E205" s="18"/>
      <c r="F205" s="18"/>
      <c r="G205" s="6"/>
      <c r="H205" s="6"/>
    </row>
    <row r="206" spans="2:8" x14ac:dyDescent="0.2">
      <c r="B206" s="18"/>
      <c r="C206" s="18"/>
      <c r="D206" s="18"/>
      <c r="E206" s="18"/>
      <c r="F206" s="18"/>
      <c r="G206" s="6"/>
      <c r="H206" s="6"/>
    </row>
    <row r="207" spans="2:8" x14ac:dyDescent="0.2">
      <c r="B207" s="18"/>
      <c r="C207" s="18"/>
      <c r="D207" s="18"/>
      <c r="E207" s="18"/>
      <c r="F207" s="18"/>
      <c r="G207" s="6"/>
      <c r="H207" s="6"/>
    </row>
    <row r="208" spans="2:8" x14ac:dyDescent="0.2">
      <c r="B208" s="18"/>
      <c r="C208" s="18"/>
      <c r="D208" s="18"/>
      <c r="E208" s="18"/>
      <c r="F208" s="18"/>
      <c r="G208" s="6"/>
      <c r="H208" s="6"/>
    </row>
    <row r="209" spans="2:8" x14ac:dyDescent="0.2">
      <c r="B209" s="18"/>
      <c r="C209" s="18"/>
      <c r="D209" s="18"/>
      <c r="E209" s="18"/>
      <c r="F209" s="18"/>
      <c r="G209" s="6"/>
      <c r="H209" s="6"/>
    </row>
    <row r="210" spans="2:8" x14ac:dyDescent="0.2">
      <c r="B210" s="18"/>
      <c r="C210" s="18"/>
      <c r="D210" s="18"/>
      <c r="E210" s="18"/>
      <c r="F210" s="18"/>
      <c r="G210" s="6"/>
      <c r="H210" s="6"/>
    </row>
    <row r="211" spans="2:8" x14ac:dyDescent="0.2">
      <c r="B211" s="18"/>
      <c r="C211" s="18"/>
      <c r="D211" s="18"/>
      <c r="E211" s="18"/>
      <c r="F211" s="18"/>
      <c r="G211" s="6"/>
      <c r="H211" s="6"/>
    </row>
    <row r="212" spans="2:8" x14ac:dyDescent="0.2">
      <c r="B212" s="18"/>
      <c r="C212" s="18"/>
      <c r="D212" s="18"/>
      <c r="E212" s="18"/>
      <c r="F212" s="18"/>
      <c r="G212" s="6"/>
      <c r="H212" s="6"/>
    </row>
    <row r="213" spans="2:8" x14ac:dyDescent="0.2">
      <c r="B213" s="18"/>
      <c r="C213" s="18"/>
      <c r="D213" s="18"/>
      <c r="E213" s="18"/>
      <c r="F213" s="18"/>
      <c r="G213" s="6"/>
      <c r="H213" s="6"/>
    </row>
    <row r="214" spans="2:8" x14ac:dyDescent="0.2">
      <c r="B214" s="18"/>
      <c r="C214" s="18"/>
      <c r="D214" s="18"/>
      <c r="E214" s="18"/>
      <c r="F214" s="18"/>
      <c r="G214" s="6"/>
      <c r="H214" s="6"/>
    </row>
    <row r="215" spans="2:8" x14ac:dyDescent="0.2">
      <c r="B215" s="18"/>
      <c r="C215" s="18"/>
      <c r="D215" s="18"/>
      <c r="E215" s="18"/>
      <c r="F215" s="18"/>
      <c r="G215" s="6"/>
      <c r="H215" s="6"/>
    </row>
    <row r="216" spans="2:8" x14ac:dyDescent="0.2">
      <c r="B216" s="18"/>
      <c r="C216" s="18"/>
      <c r="D216" s="18"/>
      <c r="E216" s="18"/>
      <c r="F216" s="18"/>
      <c r="G216" s="6"/>
      <c r="H216" s="6"/>
    </row>
    <row r="217" spans="2:8" x14ac:dyDescent="0.2">
      <c r="B217" s="5"/>
      <c r="C217" s="5"/>
      <c r="D217" s="5"/>
      <c r="E217" s="5"/>
      <c r="F217" s="5"/>
      <c r="G217" s="6"/>
      <c r="H217" s="6"/>
    </row>
    <row r="218" spans="2:8" x14ac:dyDescent="0.2">
      <c r="G218" s="6"/>
      <c r="H218" s="6"/>
    </row>
    <row r="219" spans="2:8" x14ac:dyDescent="0.2">
      <c r="G219" s="6"/>
      <c r="H219" s="6"/>
    </row>
  </sheetData>
  <mergeCells count="237">
    <mergeCell ref="G91:H91"/>
    <mergeCell ref="A91:B91"/>
    <mergeCell ref="C92:D92"/>
    <mergeCell ref="E92:F92"/>
    <mergeCell ref="G92:H92"/>
    <mergeCell ref="A93:B93"/>
    <mergeCell ref="C93:D93"/>
    <mergeCell ref="E93:F93"/>
    <mergeCell ref="G93:H93"/>
    <mergeCell ref="A92:B92"/>
    <mergeCell ref="G11:H11"/>
    <mergeCell ref="G52:H52"/>
    <mergeCell ref="G58:H58"/>
    <mergeCell ref="B52:D52"/>
    <mergeCell ref="B53:D53"/>
    <mergeCell ref="B54:D54"/>
    <mergeCell ref="B55:D55"/>
    <mergeCell ref="B56:D56"/>
    <mergeCell ref="B51:F51"/>
    <mergeCell ref="B39:F39"/>
    <mergeCell ref="B40:F40"/>
    <mergeCell ref="B41:F41"/>
    <mergeCell ref="B42:F42"/>
    <mergeCell ref="B43:F43"/>
    <mergeCell ref="B44:F44"/>
    <mergeCell ref="B33:F33"/>
    <mergeCell ref="B34:F34"/>
    <mergeCell ref="B35:F35"/>
    <mergeCell ref="B36:F36"/>
    <mergeCell ref="B37:F37"/>
    <mergeCell ref="B38:F38"/>
    <mergeCell ref="B27:F27"/>
    <mergeCell ref="B45:F45"/>
    <mergeCell ref="B46:F46"/>
    <mergeCell ref="G7:H7"/>
    <mergeCell ref="G8:H8"/>
    <mergeCell ref="G9:H9"/>
    <mergeCell ref="G10:H10"/>
    <mergeCell ref="B5:C5"/>
    <mergeCell ref="D5:E5"/>
    <mergeCell ref="F5:G5"/>
    <mergeCell ref="B213:F213"/>
    <mergeCell ref="B214:F214"/>
    <mergeCell ref="B199:F199"/>
    <mergeCell ref="B200:F200"/>
    <mergeCell ref="B189:F189"/>
    <mergeCell ref="B190:F190"/>
    <mergeCell ref="B191:F191"/>
    <mergeCell ref="B192:F192"/>
    <mergeCell ref="B193:F193"/>
    <mergeCell ref="B194:F194"/>
    <mergeCell ref="B183:F183"/>
    <mergeCell ref="B184:F184"/>
    <mergeCell ref="B185:F185"/>
    <mergeCell ref="B186:F186"/>
    <mergeCell ref="B187:F187"/>
    <mergeCell ref="B188:F188"/>
    <mergeCell ref="B177:F177"/>
    <mergeCell ref="B215:F215"/>
    <mergeCell ref="B216:F216"/>
    <mergeCell ref="A1:H1"/>
    <mergeCell ref="A4:B4"/>
    <mergeCell ref="C4:D4"/>
    <mergeCell ref="E4:F4"/>
    <mergeCell ref="G4:H4"/>
    <mergeCell ref="A7:B7"/>
    <mergeCell ref="B207:F207"/>
    <mergeCell ref="B208:F208"/>
    <mergeCell ref="B209:F209"/>
    <mergeCell ref="B210:F210"/>
    <mergeCell ref="B211:F211"/>
    <mergeCell ref="B212:F212"/>
    <mergeCell ref="B201:F201"/>
    <mergeCell ref="B202:F202"/>
    <mergeCell ref="B203:F203"/>
    <mergeCell ref="B204:F204"/>
    <mergeCell ref="B205:F205"/>
    <mergeCell ref="B206:F206"/>
    <mergeCell ref="B195:F195"/>
    <mergeCell ref="B196:F196"/>
    <mergeCell ref="B197:F197"/>
    <mergeCell ref="B198:F198"/>
    <mergeCell ref="B178:F178"/>
    <mergeCell ref="B179:F179"/>
    <mergeCell ref="B180:F180"/>
    <mergeCell ref="B181:F181"/>
    <mergeCell ref="B182:F182"/>
    <mergeCell ref="B171:F171"/>
    <mergeCell ref="B172:F172"/>
    <mergeCell ref="B173:F173"/>
    <mergeCell ref="B174:F174"/>
    <mergeCell ref="B175:F175"/>
    <mergeCell ref="B176:F176"/>
    <mergeCell ref="B168:F168"/>
    <mergeCell ref="B169:F169"/>
    <mergeCell ref="B170:F170"/>
    <mergeCell ref="B159:D159"/>
    <mergeCell ref="B160:D160"/>
    <mergeCell ref="B161:D161"/>
    <mergeCell ref="B162:D162"/>
    <mergeCell ref="B153:D153"/>
    <mergeCell ref="B154:D154"/>
    <mergeCell ref="B155:D155"/>
    <mergeCell ref="B156:D156"/>
    <mergeCell ref="B164:D164"/>
    <mergeCell ref="B165:D165"/>
    <mergeCell ref="B166:D166"/>
    <mergeCell ref="B157:D157"/>
    <mergeCell ref="B158:D158"/>
    <mergeCell ref="G138:H138"/>
    <mergeCell ref="B145:D145"/>
    <mergeCell ref="B123:F123"/>
    <mergeCell ref="B124:F124"/>
    <mergeCell ref="B125:F125"/>
    <mergeCell ref="B129:F129"/>
    <mergeCell ref="B130:F130"/>
    <mergeCell ref="B128:F128"/>
    <mergeCell ref="B167:F167"/>
    <mergeCell ref="B147:D147"/>
    <mergeCell ref="B148:D148"/>
    <mergeCell ref="B149:D149"/>
    <mergeCell ref="B150:D150"/>
    <mergeCell ref="B141:D141"/>
    <mergeCell ref="B142:D142"/>
    <mergeCell ref="B143:D143"/>
    <mergeCell ref="B144:D144"/>
    <mergeCell ref="B135:F135"/>
    <mergeCell ref="B136:F136"/>
    <mergeCell ref="B137:F137"/>
    <mergeCell ref="B138:D138"/>
    <mergeCell ref="B139:D139"/>
    <mergeCell ref="B140:D140"/>
    <mergeCell ref="B76:F76"/>
    <mergeCell ref="B77:F77"/>
    <mergeCell ref="B152:D152"/>
    <mergeCell ref="A87:B87"/>
    <mergeCell ref="C87:D87"/>
    <mergeCell ref="E87:F87"/>
    <mergeCell ref="B88:C88"/>
    <mergeCell ref="B86:F86"/>
    <mergeCell ref="B99:F99"/>
    <mergeCell ref="B100:F100"/>
    <mergeCell ref="B101:F101"/>
    <mergeCell ref="B102:F102"/>
    <mergeCell ref="B103:F103"/>
    <mergeCell ref="B104:F104"/>
    <mergeCell ref="B94:F94"/>
    <mergeCell ref="B95:F95"/>
    <mergeCell ref="B96:F96"/>
    <mergeCell ref="B97:F97"/>
    <mergeCell ref="B117:F117"/>
    <mergeCell ref="B119:F119"/>
    <mergeCell ref="B121:F121"/>
    <mergeCell ref="B122:F122"/>
    <mergeCell ref="B112:F112"/>
    <mergeCell ref="B113:F113"/>
    <mergeCell ref="B98:F98"/>
    <mergeCell ref="B146:D146"/>
    <mergeCell ref="B151:D151"/>
    <mergeCell ref="B111:F111"/>
    <mergeCell ref="G87:H87"/>
    <mergeCell ref="D88:E88"/>
    <mergeCell ref="F88:G88"/>
    <mergeCell ref="A90:B90"/>
    <mergeCell ref="C90:D90"/>
    <mergeCell ref="E90:F90"/>
    <mergeCell ref="G90:H90"/>
    <mergeCell ref="B105:F105"/>
    <mergeCell ref="B106:F106"/>
    <mergeCell ref="B107:F107"/>
    <mergeCell ref="B108:F108"/>
    <mergeCell ref="B109:F109"/>
    <mergeCell ref="B110:F110"/>
    <mergeCell ref="B114:F114"/>
    <mergeCell ref="B115:F115"/>
    <mergeCell ref="B116:F116"/>
    <mergeCell ref="B131:F131"/>
    <mergeCell ref="B132:F132"/>
    <mergeCell ref="B133:F133"/>
    <mergeCell ref="B134:F134"/>
    <mergeCell ref="B47:F47"/>
    <mergeCell ref="B48:F48"/>
    <mergeCell ref="B49:F49"/>
    <mergeCell ref="B50:F50"/>
    <mergeCell ref="B67:F67"/>
    <mergeCell ref="B63:F63"/>
    <mergeCell ref="B69:F69"/>
    <mergeCell ref="B57:D57"/>
    <mergeCell ref="B58:D58"/>
    <mergeCell ref="B59:D59"/>
    <mergeCell ref="B60:D60"/>
    <mergeCell ref="B61:D61"/>
    <mergeCell ref="B62:D62"/>
    <mergeCell ref="B73:D73"/>
    <mergeCell ref="B80:F80"/>
    <mergeCell ref="B81:F81"/>
    <mergeCell ref="C91:D91"/>
    <mergeCell ref="E91:F91"/>
    <mergeCell ref="B163:D163"/>
    <mergeCell ref="B11:F11"/>
    <mergeCell ref="B12:F12"/>
    <mergeCell ref="A8:B8"/>
    <mergeCell ref="A9:B9"/>
    <mergeCell ref="A10:B10"/>
    <mergeCell ref="C8:D8"/>
    <mergeCell ref="C9:D9"/>
    <mergeCell ref="C10:D10"/>
    <mergeCell ref="B64:D64"/>
    <mergeCell ref="B65:D65"/>
    <mergeCell ref="B66:D66"/>
    <mergeCell ref="B68:D68"/>
    <mergeCell ref="B70:D70"/>
    <mergeCell ref="B71:D71"/>
    <mergeCell ref="B72:D72"/>
    <mergeCell ref="B28:F28"/>
    <mergeCell ref="B29:F29"/>
    <mergeCell ref="B30:F30"/>
    <mergeCell ref="B31:F31"/>
    <mergeCell ref="B32:F32"/>
    <mergeCell ref="B21:F21"/>
    <mergeCell ref="B2:F2"/>
    <mergeCell ref="C7:D7"/>
    <mergeCell ref="E7:F7"/>
    <mergeCell ref="E8:F8"/>
    <mergeCell ref="E9:F9"/>
    <mergeCell ref="E10:F10"/>
    <mergeCell ref="B3:F3"/>
    <mergeCell ref="B18:F18"/>
    <mergeCell ref="B19:F19"/>
    <mergeCell ref="B20:F20"/>
    <mergeCell ref="B22:F22"/>
    <mergeCell ref="B23:F23"/>
    <mergeCell ref="B24:F24"/>
    <mergeCell ref="B25:F25"/>
    <mergeCell ref="B26:F26"/>
    <mergeCell ref="B13:D13"/>
    <mergeCell ref="B14:D14"/>
  </mergeCells>
  <phoneticPr fontId="2" type="noConversion"/>
  <pageMargins left="0.75" right="0.75" top="1" bottom="1" header="0.5" footer="0.5"/>
  <pageSetup scale="99" fitToHeight="0"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Microsoft Office User</cp:lastModifiedBy>
  <cp:lastPrinted>2015-11-19T18:13:20Z</cp:lastPrinted>
  <dcterms:created xsi:type="dcterms:W3CDTF">2013-10-13T13:50:22Z</dcterms:created>
  <dcterms:modified xsi:type="dcterms:W3CDTF">2020-11-23T22:04:07Z</dcterms:modified>
</cp:coreProperties>
</file>
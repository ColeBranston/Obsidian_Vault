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Not Used\Biz 2257\Case ansers and review\"/>
    </mc:Choice>
  </mc:AlternateContent>
  <bookViews>
    <workbookView xWindow="0" yWindow="0" windowWidth="20490" windowHeight="7755" tabRatio="500"/>
  </bookViews>
  <sheets>
    <sheet name="Sheet1" sheetId="1" r:id="rId1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4" i="1" l="1"/>
  <c r="G79" i="1"/>
  <c r="G89" i="1"/>
  <c r="G90" i="1"/>
  <c r="G92" i="1"/>
  <c r="E89" i="1"/>
  <c r="H108" i="1"/>
  <c r="G119" i="1"/>
  <c r="H120" i="1"/>
  <c r="G106" i="1"/>
  <c r="G107" i="1"/>
  <c r="G101" i="1"/>
  <c r="H102" i="1"/>
  <c r="F90" i="1"/>
  <c r="H80" i="1"/>
  <c r="G75" i="1"/>
  <c r="H76" i="1"/>
  <c r="B71" i="1"/>
  <c r="B76" i="1"/>
  <c r="G55" i="1"/>
  <c r="H63" i="1"/>
  <c r="H62" i="1"/>
  <c r="G61" i="1"/>
  <c r="G70" i="1"/>
  <c r="H71" i="1"/>
  <c r="B70" i="1"/>
  <c r="H56" i="1"/>
  <c r="G6" i="1"/>
  <c r="G7" i="1"/>
  <c r="G9" i="1"/>
  <c r="E6" i="1"/>
  <c r="H20" i="1"/>
  <c r="G27" i="1"/>
  <c r="H28" i="1"/>
  <c r="G18" i="1"/>
  <c r="H19" i="1"/>
  <c r="F7" i="1"/>
</calcChain>
</file>

<file path=xl/sharedStrings.xml><?xml version="1.0" encoding="utf-8"?>
<sst xmlns="http://schemas.openxmlformats.org/spreadsheetml/2006/main" count="124" uniqueCount="105">
  <si>
    <t>TEMPEST TECH INCORPORATED</t>
  </si>
  <si>
    <t># of G.F. Common Shares</t>
  </si>
  <si>
    <t>GEMINI FINANCIAL STOCKS</t>
  </si>
  <si>
    <t>1.)</t>
  </si>
  <si>
    <t>Dr T/I Shares (GF)</t>
  </si>
  <si>
    <t>Cr Cash</t>
  </si>
  <si>
    <t>JUNE 4/11</t>
  </si>
  <si>
    <t>(10,000*$55)+850=$550,850</t>
  </si>
  <si>
    <t>June 4/11</t>
  </si>
  <si>
    <t>JULY 15/11</t>
  </si>
  <si>
    <t>No Entry</t>
  </si>
  <si>
    <t>AUGUST 15/11</t>
  </si>
  <si>
    <t>Update # of Shares (10,000*15%=1500)</t>
  </si>
  <si>
    <t>Aug. 15/11</t>
  </si>
  <si>
    <t>EARLY NOVEMBER</t>
  </si>
  <si>
    <t>2.)</t>
  </si>
  <si>
    <t>Dr Cash</t>
  </si>
  <si>
    <t>Cr T/I Shares (GF)</t>
  </si>
  <si>
    <t>Cr Gain on Sale</t>
  </si>
  <si>
    <t>Price Paid/Share: $550,850/11,500 shares = $47.90</t>
  </si>
  <si>
    <t>Sale Price (Cash): (4000 shares*$64.50)-600 = $257,400</t>
  </si>
  <si>
    <t>Value of Shares: $47.90*4,000 shares = $191,600</t>
  </si>
  <si>
    <t>Gain: 257,400 - 191,600 = 65,800</t>
  </si>
  <si>
    <t>T/B</t>
  </si>
  <si>
    <t>November</t>
  </si>
  <si>
    <t>JANUARY 31/12</t>
  </si>
  <si>
    <t>3.)</t>
  </si>
  <si>
    <t>Cr Unrealized Gains</t>
  </si>
  <si>
    <t>Book Value: 550,850 - 191,600 = 359,250</t>
  </si>
  <si>
    <t>Market Value: $68 * 7,500 shares = 510,000</t>
  </si>
  <si>
    <t>Unrealized Gain: 510,000 - 359,250 = 150,750</t>
  </si>
  <si>
    <t>6.5% GOVERNMENT BONDS</t>
  </si>
  <si>
    <t>MAY 16/11</t>
  </si>
  <si>
    <t>JULY 1/11</t>
  </si>
  <si>
    <t>JAN 1/12</t>
  </si>
  <si>
    <t>JAN 31/12</t>
  </si>
  <si>
    <t>1.5 months</t>
  </si>
  <si>
    <t>6 months</t>
  </si>
  <si>
    <t>1 month</t>
  </si>
  <si>
    <t>1,000 Bonds</t>
  </si>
  <si>
    <t>Coupon: 6.5%</t>
  </si>
  <si>
    <t>accrued interest</t>
  </si>
  <si>
    <t>Bought @ 101 +</t>
  </si>
  <si>
    <t>Interest Due</t>
  </si>
  <si>
    <t>FYE</t>
  </si>
  <si>
    <t>Accrue Interest</t>
  </si>
  <si>
    <t>Market Rate: 7%</t>
  </si>
  <si>
    <t>4.)</t>
  </si>
  <si>
    <t>Dr T/I - 6.5% Bonds</t>
  </si>
  <si>
    <t>Dr Interest Receivable</t>
  </si>
  <si>
    <t>Bonds: 1,000 bonds * $1,000 * 1.01 = 1,010,000</t>
  </si>
  <si>
    <t>Interest: 1,000 bonds * $1,000 * 6.5% * (4.5/12) = 24,375</t>
  </si>
  <si>
    <t>Cash: 1,010,000 + 24,375 = 1,034, 375</t>
  </si>
  <si>
    <t>5.)</t>
  </si>
  <si>
    <t>Cr Interest Receivable</t>
  </si>
  <si>
    <t>Cr Interest Revenue</t>
  </si>
  <si>
    <t>Revenue: 1,000 bonds *$1,000*6.5%*(1.5/12)=8,125</t>
  </si>
  <si>
    <t>Cash: 1,000 bonds * $1,000 * 6.5% * (6/12) = 32,500</t>
  </si>
  <si>
    <t>JANUARY 1/12</t>
  </si>
  <si>
    <t>6.)</t>
  </si>
  <si>
    <t>1,000 bonds * $1,000 * 6.5% * (6/12) = 32,500</t>
  </si>
  <si>
    <t>7.)</t>
  </si>
  <si>
    <t>1,000 bonds * $1,000 * 6.5% * (1/12) = 5,417</t>
  </si>
  <si>
    <t>8.)</t>
  </si>
  <si>
    <t>Dr Unrealized Loss</t>
  </si>
  <si>
    <t>Cr T/I 6.5% Bonds</t>
  </si>
  <si>
    <t>Market Value: 786,505+198,775 = 985,280</t>
  </si>
  <si>
    <t>Book Value: 1,010,000</t>
  </si>
  <si>
    <t>Unrealized Loss: 1,010,000 - 985,280 = 24,720</t>
  </si>
  <si>
    <t>n = 7</t>
  </si>
  <si>
    <t>I = 3.5%</t>
  </si>
  <si>
    <t>HIGHLAND RESOURCES INC</t>
  </si>
  <si>
    <t># of H.R. Common Shares</t>
  </si>
  <si>
    <t>JULY 28/11</t>
  </si>
  <si>
    <t>9.)</t>
  </si>
  <si>
    <t>Dr T/I Shares (HR)</t>
  </si>
  <si>
    <t>(3000 shares*$310)+600 = 930,600</t>
  </si>
  <si>
    <t>July 28/11</t>
  </si>
  <si>
    <t>AUGUST 30/11</t>
  </si>
  <si>
    <t>Update # of Shares (3,000*3 = 9,000)</t>
  </si>
  <si>
    <t>Aug. 30/11</t>
  </si>
  <si>
    <t>OCTOBER 15/11</t>
  </si>
  <si>
    <t>NOVEMBER 15/11</t>
  </si>
  <si>
    <t>10.)</t>
  </si>
  <si>
    <t>Cr Dividend Revenue</t>
  </si>
  <si>
    <t>12,000 shares * $0.85 = 10,200</t>
  </si>
  <si>
    <t>DECEMBER 30/11</t>
  </si>
  <si>
    <t>11.)</t>
  </si>
  <si>
    <t>Cr T/I Shares (HR)</t>
  </si>
  <si>
    <t>Dr Loss on Sale</t>
  </si>
  <si>
    <t>Price/Share: 930,600/12,000=$77.55</t>
  </si>
  <si>
    <t>Book Value: $77.55*1,300 = $100,815</t>
  </si>
  <si>
    <t>Proceeds: ($76*1,300)-170 = $98,630</t>
  </si>
  <si>
    <t>Loss on Sale: 100,815-98,630=2,185</t>
  </si>
  <si>
    <t>JANUARY 15/12</t>
  </si>
  <si>
    <t>Date of Declaration</t>
  </si>
  <si>
    <t>12.)</t>
  </si>
  <si>
    <t>Cr Unrealized Gain</t>
  </si>
  <si>
    <t>Dr T/I Shares (H/R)</t>
  </si>
  <si>
    <t>Book Value: 930,600-100,815=829,785</t>
  </si>
  <si>
    <t>Market Value: 10,700 shares * $79 = 845,300</t>
  </si>
  <si>
    <t>Unrealized Gain: 845,300-829,785=15,515</t>
  </si>
  <si>
    <t>Dec 30/11</t>
  </si>
  <si>
    <t>PV of FV: 1,000 bonds*$1,000*0.78599=785,990</t>
  </si>
  <si>
    <t>Interest Payments: 1,000 bonds * $1,000*6.5%*(6/12)*6.11454=198,723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</si>
</sst>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scheme val="minor"/>
    </font>
    <font>
      <b/>
      <u/>
      <sz val="1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165" fontId="0" fillId="0" borderId="0" xfId="1" applyNumberFormat="1" applyFont="1"/>
    <xf numFmtId="0" fontId="0" fillId="0" borderId="0" xfId="0" applyAlignment="1"/>
    <xf numFmtId="165" fontId="0" fillId="0" borderId="3" xfId="1" applyNumberFormat="1" applyFont="1" applyBorder="1"/>
    <xf numFmtId="165" fontId="0" fillId="0" borderId="4" xfId="1" applyNumberFormat="1" applyFont="1" applyBorder="1"/>
    <xf numFmtId="165" fontId="0" fillId="0" borderId="0" xfId="1" applyNumberFormat="1" applyFont="1" applyAlignment="1"/>
    <xf numFmtId="165" fontId="0" fillId="0" borderId="5" xfId="1" applyNumberFormat="1" applyFont="1" applyBorder="1"/>
    <xf numFmtId="165" fontId="0" fillId="0" borderId="2" xfId="1" applyNumberFormat="1" applyFont="1" applyBorder="1"/>
    <xf numFmtId="165" fontId="0" fillId="0" borderId="8" xfId="1" applyNumberFormat="1" applyFont="1" applyBorder="1"/>
    <xf numFmtId="165" fontId="0" fillId="0" borderId="9" xfId="1" applyNumberFormat="1" applyFont="1" applyBorder="1"/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5"/>
  <sheetViews>
    <sheetView tabSelected="1" view="pageLayout" topLeftCell="A62" workbookViewId="0">
      <selection activeCell="G81" sqref="G81"/>
    </sheetView>
  </sheetViews>
  <sheetFormatPr defaultColWidth="11" defaultRowHeight="15.75" x14ac:dyDescent="0.25"/>
  <cols>
    <col min="1" max="1" width="4" customWidth="1"/>
    <col min="5" max="5" width="11.5" bestFit="1" customWidth="1"/>
    <col min="6" max="7" width="10.5" customWidth="1"/>
  </cols>
  <sheetData>
    <row r="1" spans="1:8" ht="27" thickBot="1" x14ac:dyDescent="0.45">
      <c r="A1" s="12" t="s">
        <v>0</v>
      </c>
      <c r="B1" s="12"/>
      <c r="C1" s="12"/>
      <c r="D1" s="12"/>
      <c r="E1" s="12"/>
      <c r="F1" s="12"/>
      <c r="G1" s="12"/>
      <c r="H1" s="12"/>
    </row>
    <row r="2" spans="1:8" x14ac:dyDescent="0.25">
      <c r="B2" s="10"/>
      <c r="C2" s="10"/>
      <c r="D2" s="10"/>
      <c r="E2" s="10"/>
      <c r="F2" s="10"/>
      <c r="G2" s="1"/>
      <c r="H2" s="1"/>
    </row>
    <row r="3" spans="1:8" x14ac:dyDescent="0.25">
      <c r="B3" s="13" t="s">
        <v>2</v>
      </c>
      <c r="C3" s="13"/>
      <c r="D3" s="13"/>
      <c r="E3" s="2"/>
      <c r="F3" s="2"/>
      <c r="G3" s="1"/>
      <c r="H3" s="1"/>
    </row>
    <row r="4" spans="1:8" x14ac:dyDescent="0.25">
      <c r="B4" s="10"/>
      <c r="C4" s="10"/>
      <c r="D4" s="10"/>
      <c r="E4" s="2"/>
      <c r="F4" s="2"/>
      <c r="G4" s="17" t="s">
        <v>1</v>
      </c>
      <c r="H4" s="17"/>
    </row>
    <row r="5" spans="1:8" x14ac:dyDescent="0.25">
      <c r="B5" s="10" t="s">
        <v>6</v>
      </c>
      <c r="C5" s="10"/>
      <c r="D5" s="10"/>
      <c r="E5" s="5"/>
      <c r="F5" s="5"/>
      <c r="G5" s="3">
        <v>10000</v>
      </c>
      <c r="H5" s="1" t="s">
        <v>8</v>
      </c>
    </row>
    <row r="6" spans="1:8" x14ac:dyDescent="0.25">
      <c r="A6" t="s">
        <v>3</v>
      </c>
      <c r="B6" s="10" t="s">
        <v>4</v>
      </c>
      <c r="C6" s="10"/>
      <c r="D6" s="10"/>
      <c r="E6" s="5">
        <f>(10000*55)+850</f>
        <v>550850</v>
      </c>
      <c r="F6" s="5"/>
      <c r="G6" s="6">
        <f>G5*0.15</f>
        <v>1500</v>
      </c>
      <c r="H6" s="7" t="s">
        <v>13</v>
      </c>
    </row>
    <row r="7" spans="1:8" x14ac:dyDescent="0.25">
      <c r="B7" s="14" t="s">
        <v>5</v>
      </c>
      <c r="C7" s="14"/>
      <c r="D7" s="14"/>
      <c r="E7" s="5"/>
      <c r="F7" s="5">
        <f>E6</f>
        <v>550850</v>
      </c>
      <c r="G7" s="4">
        <f>G5+G6</f>
        <v>11500</v>
      </c>
      <c r="H7" s="1" t="s">
        <v>23</v>
      </c>
    </row>
    <row r="8" spans="1:8" x14ac:dyDescent="0.25">
      <c r="B8" s="10" t="s">
        <v>7</v>
      </c>
      <c r="C8" s="10"/>
      <c r="D8" s="10"/>
      <c r="E8" s="5"/>
      <c r="F8" s="5"/>
      <c r="G8" s="6" t="s">
        <v>24</v>
      </c>
      <c r="H8" s="7">
        <v>4000</v>
      </c>
    </row>
    <row r="9" spans="1:8" x14ac:dyDescent="0.25">
      <c r="B9" s="10"/>
      <c r="C9" s="10"/>
      <c r="D9" s="10"/>
      <c r="E9" s="5"/>
      <c r="F9" s="5"/>
      <c r="G9" s="4">
        <f>G7-H8</f>
        <v>7500</v>
      </c>
      <c r="H9" s="1" t="s">
        <v>23</v>
      </c>
    </row>
    <row r="10" spans="1:8" x14ac:dyDescent="0.25">
      <c r="B10" s="10" t="s">
        <v>9</v>
      </c>
      <c r="C10" s="10"/>
      <c r="D10" s="10"/>
      <c r="E10" s="5"/>
      <c r="F10" s="5"/>
      <c r="G10" s="4"/>
      <c r="H10" s="1"/>
    </row>
    <row r="11" spans="1:8" x14ac:dyDescent="0.25">
      <c r="B11" s="10" t="s">
        <v>10</v>
      </c>
      <c r="C11" s="10"/>
      <c r="D11" s="10"/>
      <c r="E11" s="10"/>
      <c r="F11" s="10"/>
      <c r="G11" s="1"/>
      <c r="H11" s="1"/>
    </row>
    <row r="12" spans="1:8" x14ac:dyDescent="0.25">
      <c r="B12" s="10"/>
      <c r="C12" s="10"/>
      <c r="D12" s="10"/>
      <c r="E12" s="10"/>
      <c r="F12" s="10"/>
      <c r="G12" s="1"/>
      <c r="H12" s="1"/>
    </row>
    <row r="13" spans="1:8" x14ac:dyDescent="0.25">
      <c r="B13" s="10" t="s">
        <v>11</v>
      </c>
      <c r="C13" s="10"/>
      <c r="D13" s="10"/>
      <c r="E13" s="10"/>
      <c r="F13" s="10"/>
      <c r="G13" s="1"/>
      <c r="H13" s="1"/>
    </row>
    <row r="14" spans="1:8" x14ac:dyDescent="0.25">
      <c r="B14" s="10" t="s">
        <v>10</v>
      </c>
      <c r="C14" s="10"/>
      <c r="D14" s="10"/>
      <c r="E14" s="10"/>
      <c r="F14" s="10"/>
      <c r="G14" s="1"/>
      <c r="H14" s="1"/>
    </row>
    <row r="15" spans="1:8" x14ac:dyDescent="0.25">
      <c r="B15" s="10" t="s">
        <v>12</v>
      </c>
      <c r="C15" s="10"/>
      <c r="D15" s="10"/>
      <c r="E15" s="10"/>
      <c r="F15" s="10"/>
      <c r="G15" s="1"/>
      <c r="H15" s="1"/>
    </row>
    <row r="16" spans="1:8" x14ac:dyDescent="0.25">
      <c r="B16" s="10"/>
      <c r="C16" s="10"/>
      <c r="D16" s="10"/>
      <c r="E16" s="10"/>
      <c r="F16" s="10"/>
      <c r="G16" s="1"/>
      <c r="H16" s="1"/>
    </row>
    <row r="17" spans="1:8" x14ac:dyDescent="0.25">
      <c r="B17" s="10" t="s">
        <v>14</v>
      </c>
      <c r="C17" s="10"/>
      <c r="D17" s="10"/>
      <c r="E17" s="10"/>
      <c r="F17" s="10"/>
      <c r="G17" s="1"/>
      <c r="H17" s="1"/>
    </row>
    <row r="18" spans="1:8" x14ac:dyDescent="0.25">
      <c r="A18" t="s">
        <v>15</v>
      </c>
      <c r="B18" s="10" t="s">
        <v>16</v>
      </c>
      <c r="C18" s="10"/>
      <c r="D18" s="10"/>
      <c r="E18" s="10"/>
      <c r="F18" s="10"/>
      <c r="G18" s="1">
        <f>(4000*64.5)-600</f>
        <v>257400</v>
      </c>
      <c r="H18" s="1"/>
    </row>
    <row r="19" spans="1:8" x14ac:dyDescent="0.25">
      <c r="B19" s="14" t="s">
        <v>18</v>
      </c>
      <c r="C19" s="14"/>
      <c r="D19" s="14"/>
      <c r="E19" s="14"/>
      <c r="F19" s="14"/>
      <c r="G19" s="1"/>
      <c r="H19" s="1">
        <f>G18-H20</f>
        <v>65800</v>
      </c>
    </row>
    <row r="20" spans="1:8" x14ac:dyDescent="0.25">
      <c r="B20" s="14" t="s">
        <v>17</v>
      </c>
      <c r="C20" s="14"/>
      <c r="D20" s="14"/>
      <c r="E20" s="14"/>
      <c r="F20" s="14"/>
      <c r="G20" s="1"/>
      <c r="H20" s="1">
        <f>47.9*H8</f>
        <v>191600</v>
      </c>
    </row>
    <row r="21" spans="1:8" x14ac:dyDescent="0.25">
      <c r="B21" s="10" t="s">
        <v>19</v>
      </c>
      <c r="C21" s="10"/>
      <c r="D21" s="10"/>
      <c r="E21" s="10"/>
      <c r="F21" s="10"/>
      <c r="G21" s="1"/>
      <c r="H21" s="1"/>
    </row>
    <row r="22" spans="1:8" x14ac:dyDescent="0.25">
      <c r="B22" s="10" t="s">
        <v>20</v>
      </c>
      <c r="C22" s="10"/>
      <c r="D22" s="10"/>
      <c r="E22" s="10"/>
      <c r="F22" s="10"/>
      <c r="G22" s="1"/>
      <c r="H22" s="1"/>
    </row>
    <row r="23" spans="1:8" x14ac:dyDescent="0.25">
      <c r="B23" s="10" t="s">
        <v>21</v>
      </c>
      <c r="C23" s="10"/>
      <c r="D23" s="10"/>
      <c r="E23" s="10"/>
      <c r="F23" s="10"/>
      <c r="G23" s="1"/>
      <c r="H23" s="1"/>
    </row>
    <row r="24" spans="1:8" x14ac:dyDescent="0.25">
      <c r="B24" s="10" t="s">
        <v>22</v>
      </c>
      <c r="C24" s="10"/>
      <c r="D24" s="10"/>
      <c r="E24" s="10"/>
      <c r="F24" s="10"/>
      <c r="G24" s="1"/>
      <c r="H24" s="1"/>
    </row>
    <row r="25" spans="1:8" x14ac:dyDescent="0.25">
      <c r="B25" s="10"/>
      <c r="C25" s="10"/>
      <c r="D25" s="10"/>
      <c r="E25" s="10"/>
      <c r="F25" s="10"/>
      <c r="G25" s="1"/>
      <c r="H25" s="1"/>
    </row>
    <row r="26" spans="1:8" x14ac:dyDescent="0.25">
      <c r="B26" s="10" t="s">
        <v>25</v>
      </c>
      <c r="C26" s="10"/>
      <c r="D26" s="10"/>
      <c r="E26" s="10"/>
      <c r="F26" s="10"/>
      <c r="G26" s="1"/>
      <c r="H26" s="1"/>
    </row>
    <row r="27" spans="1:8" x14ac:dyDescent="0.25">
      <c r="A27" t="s">
        <v>26</v>
      </c>
      <c r="B27" s="10" t="s">
        <v>4</v>
      </c>
      <c r="C27" s="10"/>
      <c r="D27" s="10"/>
      <c r="E27" s="10"/>
      <c r="F27" s="10"/>
      <c r="G27" s="1">
        <f>(68*G9)-(E6-H20)</f>
        <v>150750</v>
      </c>
      <c r="H27" s="1"/>
    </row>
    <row r="28" spans="1:8" x14ac:dyDescent="0.25">
      <c r="B28" s="14" t="s">
        <v>27</v>
      </c>
      <c r="C28" s="14"/>
      <c r="D28" s="14"/>
      <c r="E28" s="14"/>
      <c r="F28" s="14"/>
      <c r="G28" s="1"/>
      <c r="H28" s="1">
        <f>G27</f>
        <v>150750</v>
      </c>
    </row>
    <row r="29" spans="1:8" x14ac:dyDescent="0.25">
      <c r="B29" s="10" t="s">
        <v>28</v>
      </c>
      <c r="C29" s="10"/>
      <c r="D29" s="10"/>
      <c r="E29" s="10"/>
      <c r="F29" s="10"/>
      <c r="G29" s="1"/>
      <c r="H29" s="1"/>
    </row>
    <row r="30" spans="1:8" x14ac:dyDescent="0.25">
      <c r="B30" s="10" t="s">
        <v>29</v>
      </c>
      <c r="C30" s="10"/>
      <c r="D30" s="10"/>
      <c r="E30" s="10"/>
      <c r="F30" s="10"/>
      <c r="G30" s="1"/>
      <c r="H30" s="1"/>
    </row>
    <row r="31" spans="1:8" x14ac:dyDescent="0.25">
      <c r="B31" s="10" t="s">
        <v>30</v>
      </c>
      <c r="C31" s="10"/>
      <c r="D31" s="10"/>
      <c r="E31" s="10"/>
      <c r="F31" s="10"/>
      <c r="G31" s="1"/>
      <c r="H31" s="1"/>
    </row>
    <row r="32" spans="1:8" x14ac:dyDescent="0.25">
      <c r="B32" s="10"/>
      <c r="C32" s="10"/>
      <c r="D32" s="10"/>
      <c r="E32" s="10"/>
      <c r="F32" s="10"/>
      <c r="G32" s="1"/>
      <c r="H32" s="1"/>
    </row>
    <row r="33" spans="1:8" x14ac:dyDescent="0.25">
      <c r="B33" s="10"/>
      <c r="C33" s="10"/>
      <c r="D33" s="10"/>
      <c r="E33" s="10"/>
      <c r="F33" s="10"/>
      <c r="G33" s="1"/>
      <c r="H33" s="1"/>
    </row>
    <row r="34" spans="1:8" x14ac:dyDescent="0.25">
      <c r="B34" s="10"/>
      <c r="C34" s="10"/>
      <c r="D34" s="10"/>
      <c r="E34" s="10"/>
      <c r="F34" s="10"/>
      <c r="G34" s="1"/>
      <c r="H34" s="1"/>
    </row>
    <row r="35" spans="1:8" x14ac:dyDescent="0.25">
      <c r="B35" s="10"/>
      <c r="C35" s="10"/>
      <c r="D35" s="10"/>
      <c r="E35" s="10"/>
      <c r="F35" s="10"/>
      <c r="G35" s="1"/>
      <c r="H35" s="1"/>
    </row>
    <row r="36" spans="1:8" x14ac:dyDescent="0.25">
      <c r="B36" s="10"/>
      <c r="C36" s="10"/>
      <c r="D36" s="10"/>
      <c r="E36" s="10"/>
      <c r="F36" s="10"/>
      <c r="G36" s="1"/>
      <c r="H36" s="1"/>
    </row>
    <row r="37" spans="1:8" x14ac:dyDescent="0.25">
      <c r="B37" s="10"/>
      <c r="C37" s="10"/>
      <c r="D37" s="10"/>
      <c r="E37" s="10"/>
      <c r="F37" s="10"/>
      <c r="G37" s="1"/>
      <c r="H37" s="1"/>
    </row>
    <row r="38" spans="1:8" x14ac:dyDescent="0.25">
      <c r="B38" s="10"/>
      <c r="C38" s="10"/>
      <c r="D38" s="10"/>
      <c r="E38" s="10"/>
      <c r="F38" s="10"/>
      <c r="G38" s="1"/>
      <c r="H38" s="1"/>
    </row>
    <row r="39" spans="1:8" x14ac:dyDescent="0.25">
      <c r="B39" s="10"/>
      <c r="C39" s="10"/>
      <c r="D39" s="10"/>
      <c r="E39" s="10"/>
      <c r="F39" s="10"/>
      <c r="G39" s="1"/>
      <c r="H39" s="1"/>
    </row>
    <row r="40" spans="1:8" x14ac:dyDescent="0.25">
      <c r="B40" s="10"/>
      <c r="C40" s="10"/>
      <c r="D40" s="10"/>
      <c r="E40" s="10"/>
      <c r="F40" s="10"/>
      <c r="G40" s="1"/>
      <c r="H40" s="1"/>
    </row>
    <row r="41" spans="1:8" x14ac:dyDescent="0.25">
      <c r="B41" s="10"/>
      <c r="C41" s="10"/>
      <c r="D41" s="10"/>
      <c r="E41" s="10"/>
      <c r="F41" s="10"/>
      <c r="G41" s="1"/>
      <c r="H41" s="1"/>
    </row>
    <row r="42" spans="1:8" x14ac:dyDescent="0.25">
      <c r="B42" s="10"/>
      <c r="C42" s="10"/>
      <c r="D42" s="10"/>
      <c r="E42" s="10"/>
      <c r="F42" s="10"/>
      <c r="G42" s="1"/>
      <c r="H42" s="1"/>
    </row>
    <row r="43" spans="1:8" x14ac:dyDescent="0.25">
      <c r="B43" s="13" t="s">
        <v>31</v>
      </c>
      <c r="C43" s="13"/>
      <c r="D43" s="13"/>
      <c r="E43" s="13"/>
      <c r="F43" s="13"/>
      <c r="G43" s="1"/>
      <c r="H43" s="1"/>
    </row>
    <row r="44" spans="1:8" x14ac:dyDescent="0.25">
      <c r="B44" s="2"/>
      <c r="C44" s="2"/>
      <c r="D44" s="2"/>
      <c r="E44" s="2"/>
      <c r="F44" s="2"/>
      <c r="G44" s="1"/>
      <c r="H44" s="1"/>
    </row>
    <row r="45" spans="1:8" x14ac:dyDescent="0.25">
      <c r="A45" s="18" t="s">
        <v>32</v>
      </c>
      <c r="B45" s="18"/>
      <c r="C45" s="18" t="s">
        <v>33</v>
      </c>
      <c r="D45" s="18"/>
      <c r="E45" s="18" t="s">
        <v>34</v>
      </c>
      <c r="F45" s="18"/>
      <c r="G45" s="19" t="s">
        <v>35</v>
      </c>
      <c r="H45" s="19"/>
    </row>
    <row r="46" spans="1:8" x14ac:dyDescent="0.25">
      <c r="B46" s="20" t="s">
        <v>36</v>
      </c>
      <c r="C46" s="21"/>
      <c r="D46" s="20" t="s">
        <v>37</v>
      </c>
      <c r="E46" s="21"/>
      <c r="F46" s="20" t="s">
        <v>38</v>
      </c>
      <c r="G46" s="21"/>
      <c r="H46" s="1"/>
    </row>
    <row r="47" spans="1:8" x14ac:dyDescent="0.25">
      <c r="B47" s="15"/>
      <c r="C47" s="16"/>
      <c r="D47" s="15"/>
      <c r="E47" s="16"/>
      <c r="F47" s="15"/>
      <c r="G47" s="16"/>
      <c r="H47" s="1"/>
    </row>
    <row r="48" spans="1:8" x14ac:dyDescent="0.25">
      <c r="A48" s="11" t="s">
        <v>39</v>
      </c>
      <c r="B48" s="11"/>
      <c r="C48" s="11" t="s">
        <v>43</v>
      </c>
      <c r="D48" s="11"/>
      <c r="E48" s="11" t="s">
        <v>43</v>
      </c>
      <c r="F48" s="11"/>
      <c r="G48" s="11" t="s">
        <v>44</v>
      </c>
      <c r="H48" s="11"/>
    </row>
    <row r="49" spans="1:8" x14ac:dyDescent="0.25">
      <c r="A49" s="11" t="s">
        <v>40</v>
      </c>
      <c r="B49" s="11"/>
      <c r="C49" s="11"/>
      <c r="D49" s="11"/>
      <c r="E49" s="11"/>
      <c r="F49" s="11"/>
      <c r="G49" s="11" t="s">
        <v>45</v>
      </c>
      <c r="H49" s="11"/>
    </row>
    <row r="50" spans="1:8" x14ac:dyDescent="0.25">
      <c r="A50" s="11" t="s">
        <v>42</v>
      </c>
      <c r="B50" s="11"/>
      <c r="C50" s="11"/>
      <c r="D50" s="11"/>
      <c r="E50" s="11"/>
      <c r="F50" s="11"/>
      <c r="G50" s="11" t="s">
        <v>46</v>
      </c>
      <c r="H50" s="11"/>
    </row>
    <row r="51" spans="1:8" x14ac:dyDescent="0.25">
      <c r="A51" s="11" t="s">
        <v>41</v>
      </c>
      <c r="B51" s="11"/>
      <c r="C51" s="11"/>
      <c r="D51" s="11"/>
      <c r="E51" s="11"/>
      <c r="F51" s="11"/>
      <c r="G51" s="11"/>
      <c r="H51" s="11"/>
    </row>
    <row r="52" spans="1:8" x14ac:dyDescent="0.25">
      <c r="B52" s="10"/>
      <c r="C52" s="10"/>
      <c r="D52" s="10"/>
      <c r="E52" s="10"/>
      <c r="F52" s="10"/>
      <c r="G52" s="1"/>
      <c r="H52" s="1"/>
    </row>
    <row r="53" spans="1:8" x14ac:dyDescent="0.25">
      <c r="B53" s="10" t="s">
        <v>32</v>
      </c>
      <c r="C53" s="10"/>
      <c r="D53" s="10"/>
      <c r="E53" s="10"/>
      <c r="F53" s="10"/>
      <c r="G53" s="1"/>
      <c r="H53" s="1"/>
    </row>
    <row r="54" spans="1:8" x14ac:dyDescent="0.25">
      <c r="A54" t="s">
        <v>47</v>
      </c>
      <c r="B54" s="10" t="s">
        <v>48</v>
      </c>
      <c r="C54" s="10"/>
      <c r="D54" s="10"/>
      <c r="E54" s="10"/>
      <c r="F54" s="10"/>
      <c r="G54" s="1">
        <f>1000*1000*1.01</f>
        <v>1010000</v>
      </c>
      <c r="H54" s="1"/>
    </row>
    <row r="55" spans="1:8" x14ac:dyDescent="0.25">
      <c r="B55" s="10" t="s">
        <v>49</v>
      </c>
      <c r="C55" s="10"/>
      <c r="D55" s="10"/>
      <c r="E55" s="10"/>
      <c r="F55" s="10"/>
      <c r="G55" s="1">
        <f>1000*1000*6.5%*(4.5/12)</f>
        <v>24375</v>
      </c>
      <c r="H55" s="1"/>
    </row>
    <row r="56" spans="1:8" x14ac:dyDescent="0.25">
      <c r="B56" s="14" t="s">
        <v>5</v>
      </c>
      <c r="C56" s="14"/>
      <c r="D56" s="14"/>
      <c r="E56" s="14"/>
      <c r="F56" s="14"/>
      <c r="G56" s="1"/>
      <c r="H56" s="1">
        <f>G54+G55</f>
        <v>1034375</v>
      </c>
    </row>
    <row r="57" spans="1:8" x14ac:dyDescent="0.25">
      <c r="B57" s="10" t="s">
        <v>50</v>
      </c>
      <c r="C57" s="10"/>
      <c r="D57" s="10"/>
      <c r="E57" s="10"/>
      <c r="F57" s="10"/>
      <c r="G57" s="1"/>
      <c r="H57" s="1"/>
    </row>
    <row r="58" spans="1:8" x14ac:dyDescent="0.25">
      <c r="B58" s="10" t="s">
        <v>51</v>
      </c>
      <c r="C58" s="10"/>
      <c r="D58" s="10"/>
      <c r="E58" s="10"/>
      <c r="F58" s="10"/>
      <c r="G58" s="1"/>
      <c r="H58" s="1"/>
    </row>
    <row r="59" spans="1:8" x14ac:dyDescent="0.25">
      <c r="B59" s="10" t="s">
        <v>52</v>
      </c>
      <c r="C59" s="10"/>
      <c r="D59" s="10"/>
      <c r="E59" s="10"/>
      <c r="F59" s="10"/>
      <c r="G59" s="1"/>
      <c r="H59" s="1"/>
    </row>
    <row r="60" spans="1:8" x14ac:dyDescent="0.25">
      <c r="B60" s="10"/>
      <c r="C60" s="10"/>
      <c r="D60" s="10"/>
      <c r="E60" s="10"/>
      <c r="F60" s="10"/>
      <c r="G60" s="1"/>
      <c r="H60" s="1"/>
    </row>
    <row r="61" spans="1:8" x14ac:dyDescent="0.25">
      <c r="B61" s="10" t="s">
        <v>33</v>
      </c>
      <c r="C61" s="10"/>
      <c r="D61" s="10"/>
      <c r="E61" s="10"/>
      <c r="F61" s="10"/>
      <c r="G61" s="1">
        <f>H63+H62</f>
        <v>32500</v>
      </c>
      <c r="H61" s="1"/>
    </row>
    <row r="62" spans="1:8" x14ac:dyDescent="0.25">
      <c r="A62" t="s">
        <v>53</v>
      </c>
      <c r="B62" s="10" t="s">
        <v>16</v>
      </c>
      <c r="C62" s="10"/>
      <c r="D62" s="10"/>
      <c r="E62" s="10"/>
      <c r="F62" s="10"/>
      <c r="G62" s="1"/>
      <c r="H62" s="1">
        <f>1000*1000*6.5%*(1.5/12)</f>
        <v>8125</v>
      </c>
    </row>
    <row r="63" spans="1:8" x14ac:dyDescent="0.25">
      <c r="B63" s="14" t="s">
        <v>54</v>
      </c>
      <c r="C63" s="14"/>
      <c r="D63" s="14"/>
      <c r="E63" s="14"/>
      <c r="F63" s="14"/>
      <c r="G63" s="1"/>
      <c r="H63" s="1">
        <f>G55</f>
        <v>24375</v>
      </c>
    </row>
    <row r="64" spans="1:8" x14ac:dyDescent="0.25">
      <c r="B64" s="14" t="s">
        <v>55</v>
      </c>
      <c r="C64" s="14"/>
      <c r="D64" s="14"/>
      <c r="E64" s="14"/>
      <c r="F64" s="14"/>
      <c r="G64" s="1"/>
      <c r="H64" s="1"/>
    </row>
    <row r="65" spans="1:8" x14ac:dyDescent="0.25">
      <c r="B65" s="10" t="s">
        <v>56</v>
      </c>
      <c r="C65" s="10"/>
      <c r="D65" s="10"/>
      <c r="E65" s="10"/>
      <c r="F65" s="10"/>
      <c r="G65" s="1"/>
      <c r="H65" s="1"/>
    </row>
    <row r="66" spans="1:8" x14ac:dyDescent="0.25">
      <c r="B66" s="10" t="s">
        <v>57</v>
      </c>
      <c r="C66" s="10"/>
      <c r="D66" s="10"/>
      <c r="E66" s="10"/>
      <c r="F66" s="10"/>
      <c r="G66" s="1"/>
      <c r="H66" s="1"/>
    </row>
    <row r="67" spans="1:8" x14ac:dyDescent="0.25">
      <c r="B67" s="10"/>
      <c r="C67" s="10"/>
      <c r="D67" s="10"/>
      <c r="E67" s="10"/>
      <c r="F67" s="10"/>
      <c r="G67" s="1"/>
      <c r="H67" s="1"/>
    </row>
    <row r="68" spans="1:8" x14ac:dyDescent="0.25">
      <c r="B68" s="10"/>
      <c r="C68" s="10"/>
      <c r="D68" s="10"/>
      <c r="E68" s="10"/>
      <c r="F68" s="10"/>
      <c r="G68" s="1"/>
      <c r="H68" s="1"/>
    </row>
    <row r="69" spans="1:8" x14ac:dyDescent="0.25">
      <c r="B69" s="10" t="s">
        <v>58</v>
      </c>
      <c r="C69" s="10"/>
      <c r="D69" s="10"/>
      <c r="E69" s="10"/>
      <c r="F69" s="10"/>
      <c r="G69" s="1"/>
      <c r="H69" s="1"/>
    </row>
    <row r="70" spans="1:8" x14ac:dyDescent="0.25">
      <c r="A70" t="s">
        <v>59</v>
      </c>
      <c r="B70" s="10" t="str">
        <f>B62</f>
        <v>Dr Cash</v>
      </c>
      <c r="C70" s="10"/>
      <c r="D70" s="10"/>
      <c r="E70" s="10"/>
      <c r="F70" s="10"/>
      <c r="G70" s="1">
        <f>G61</f>
        <v>32500</v>
      </c>
      <c r="H70" s="1"/>
    </row>
    <row r="71" spans="1:8" x14ac:dyDescent="0.25">
      <c r="B71" s="14" t="str">
        <f>B64</f>
        <v>Cr Interest Revenue</v>
      </c>
      <c r="C71" s="14"/>
      <c r="D71" s="14"/>
      <c r="E71" s="14"/>
      <c r="F71" s="14"/>
      <c r="G71" s="1"/>
      <c r="H71" s="1">
        <f>G70</f>
        <v>32500</v>
      </c>
    </row>
    <row r="72" spans="1:8" x14ac:dyDescent="0.25">
      <c r="B72" s="10" t="s">
        <v>60</v>
      </c>
      <c r="C72" s="10"/>
      <c r="D72" s="10"/>
      <c r="E72" s="10"/>
      <c r="F72" s="10"/>
      <c r="G72" s="1"/>
      <c r="H72" s="1"/>
    </row>
    <row r="73" spans="1:8" x14ac:dyDescent="0.25">
      <c r="B73" s="10"/>
      <c r="C73" s="10"/>
      <c r="D73" s="10"/>
      <c r="E73" s="10"/>
      <c r="F73" s="10"/>
      <c r="G73" s="1"/>
      <c r="H73" s="1"/>
    </row>
    <row r="74" spans="1:8" x14ac:dyDescent="0.25">
      <c r="B74" s="10" t="s">
        <v>25</v>
      </c>
      <c r="C74" s="10"/>
      <c r="D74" s="10"/>
      <c r="E74" s="10"/>
      <c r="F74" s="10"/>
      <c r="G74" s="1"/>
      <c r="H74" s="1"/>
    </row>
    <row r="75" spans="1:8" x14ac:dyDescent="0.25">
      <c r="A75" t="s">
        <v>61</v>
      </c>
      <c r="B75" s="10" t="s">
        <v>49</v>
      </c>
      <c r="C75" s="10"/>
      <c r="D75" s="10"/>
      <c r="E75" s="10"/>
      <c r="F75" s="10"/>
      <c r="G75" s="1">
        <f>1000*1000*6.5%*1/12</f>
        <v>5416.666666666667</v>
      </c>
      <c r="H75" s="1"/>
    </row>
    <row r="76" spans="1:8" x14ac:dyDescent="0.25">
      <c r="B76" s="14" t="str">
        <f>B71</f>
        <v>Cr Interest Revenue</v>
      </c>
      <c r="C76" s="14"/>
      <c r="D76" s="14"/>
      <c r="E76" s="14"/>
      <c r="F76" s="14"/>
      <c r="G76" s="1"/>
      <c r="H76" s="1">
        <f>G75</f>
        <v>5416.666666666667</v>
      </c>
    </row>
    <row r="77" spans="1:8" x14ac:dyDescent="0.25">
      <c r="B77" s="10" t="s">
        <v>62</v>
      </c>
      <c r="C77" s="10"/>
      <c r="D77" s="10"/>
      <c r="E77" s="10"/>
      <c r="F77" s="10"/>
      <c r="G77" s="1"/>
      <c r="H77" s="1"/>
    </row>
    <row r="78" spans="1:8" x14ac:dyDescent="0.25">
      <c r="B78" s="10"/>
      <c r="C78" s="10"/>
      <c r="D78" s="10"/>
      <c r="E78" s="10"/>
      <c r="F78" s="10"/>
      <c r="G78" s="1"/>
      <c r="H78" s="1"/>
    </row>
    <row r="79" spans="1:8" x14ac:dyDescent="0.25">
      <c r="A79" t="s">
        <v>63</v>
      </c>
      <c r="B79" s="10" t="s">
        <v>64</v>
      </c>
      <c r="C79" s="10"/>
      <c r="D79" s="10"/>
      <c r="E79" s="10"/>
      <c r="F79" s="10"/>
      <c r="G79" s="1">
        <f>G54-((1000*1000*0.78599)+(1000*1000*6.5%*6/12*6.11454))</f>
        <v>25287.449999999953</v>
      </c>
      <c r="H79" s="1"/>
    </row>
    <row r="80" spans="1:8" x14ac:dyDescent="0.25">
      <c r="B80" s="14" t="s">
        <v>65</v>
      </c>
      <c r="C80" s="14"/>
      <c r="D80" s="14"/>
      <c r="E80" s="14"/>
      <c r="F80" s="14"/>
      <c r="G80" s="1"/>
      <c r="H80" s="1">
        <f>G79</f>
        <v>25287.449999999953</v>
      </c>
    </row>
    <row r="81" spans="1:8" x14ac:dyDescent="0.25">
      <c r="B81" s="10" t="s">
        <v>103</v>
      </c>
      <c r="C81" s="10"/>
      <c r="D81" s="10"/>
      <c r="E81" s="10"/>
      <c r="F81" s="10"/>
      <c r="G81" s="1"/>
    </row>
    <row r="82" spans="1:8" x14ac:dyDescent="0.25">
      <c r="B82" s="2" t="s">
        <v>104</v>
      </c>
      <c r="C82" s="2"/>
      <c r="D82" s="2"/>
      <c r="E82" s="2"/>
      <c r="F82" s="2"/>
      <c r="G82" s="1"/>
      <c r="H82" s="8" t="s">
        <v>69</v>
      </c>
    </row>
    <row r="83" spans="1:8" x14ac:dyDescent="0.25">
      <c r="B83" s="10" t="s">
        <v>66</v>
      </c>
      <c r="C83" s="10"/>
      <c r="D83" s="10"/>
      <c r="E83" s="10"/>
      <c r="F83" s="10"/>
      <c r="G83" s="1"/>
      <c r="H83" s="9" t="s">
        <v>70</v>
      </c>
    </row>
    <row r="84" spans="1:8" x14ac:dyDescent="0.25">
      <c r="B84" s="10" t="s">
        <v>67</v>
      </c>
      <c r="C84" s="10"/>
      <c r="D84" s="10"/>
      <c r="E84" s="10"/>
      <c r="F84" s="10"/>
      <c r="G84" s="1"/>
      <c r="H84" s="1"/>
    </row>
    <row r="85" spans="1:8" x14ac:dyDescent="0.25">
      <c r="B85" s="10" t="s">
        <v>68</v>
      </c>
      <c r="C85" s="10"/>
      <c r="D85" s="10"/>
      <c r="E85" s="10"/>
      <c r="F85" s="10"/>
      <c r="G85" s="1"/>
      <c r="H85" s="1"/>
    </row>
    <row r="86" spans="1:8" x14ac:dyDescent="0.25">
      <c r="B86" s="13" t="s">
        <v>71</v>
      </c>
      <c r="C86" s="13"/>
      <c r="D86" s="13"/>
      <c r="E86" s="2"/>
      <c r="F86" s="2"/>
      <c r="G86" s="1"/>
      <c r="H86" s="1"/>
    </row>
    <row r="87" spans="1:8" x14ac:dyDescent="0.25">
      <c r="B87" s="10"/>
      <c r="C87" s="10"/>
      <c r="D87" s="10"/>
      <c r="E87" s="2"/>
      <c r="F87" s="2"/>
      <c r="G87" s="17" t="s">
        <v>72</v>
      </c>
      <c r="H87" s="17"/>
    </row>
    <row r="88" spans="1:8" x14ac:dyDescent="0.25">
      <c r="B88" s="10" t="s">
        <v>73</v>
      </c>
      <c r="C88" s="10"/>
      <c r="D88" s="10"/>
      <c r="E88" s="5"/>
      <c r="F88" s="5"/>
      <c r="G88" s="3">
        <v>3000</v>
      </c>
      <c r="H88" s="1" t="s">
        <v>77</v>
      </c>
    </row>
    <row r="89" spans="1:8" x14ac:dyDescent="0.25">
      <c r="A89" t="s">
        <v>74</v>
      </c>
      <c r="B89" s="10" t="s">
        <v>75</v>
      </c>
      <c r="C89" s="10"/>
      <c r="D89" s="10"/>
      <c r="E89" s="5">
        <f>(G88*310)+600</f>
        <v>930600</v>
      </c>
      <c r="F89" s="5"/>
      <c r="G89" s="6">
        <f>G88*3</f>
        <v>9000</v>
      </c>
      <c r="H89" s="7" t="s">
        <v>80</v>
      </c>
    </row>
    <row r="90" spans="1:8" x14ac:dyDescent="0.25">
      <c r="B90" s="14" t="s">
        <v>5</v>
      </c>
      <c r="C90" s="14"/>
      <c r="D90" s="14"/>
      <c r="E90" s="5"/>
      <c r="F90" s="5">
        <f>E89</f>
        <v>930600</v>
      </c>
      <c r="G90" s="4">
        <f>G88+G89</f>
        <v>12000</v>
      </c>
      <c r="H90" s="1" t="s">
        <v>23</v>
      </c>
    </row>
    <row r="91" spans="1:8" x14ac:dyDescent="0.25">
      <c r="B91" s="10" t="s">
        <v>76</v>
      </c>
      <c r="C91" s="10"/>
      <c r="D91" s="10"/>
      <c r="E91" s="5"/>
      <c r="F91" s="5"/>
      <c r="G91" s="6" t="s">
        <v>102</v>
      </c>
      <c r="H91" s="7">
        <v>1300</v>
      </c>
    </row>
    <row r="92" spans="1:8" x14ac:dyDescent="0.25">
      <c r="B92" s="10"/>
      <c r="C92" s="10"/>
      <c r="D92" s="10"/>
      <c r="E92" s="5"/>
      <c r="F92" s="5"/>
      <c r="G92" s="4">
        <f>G90-H91</f>
        <v>10700</v>
      </c>
      <c r="H92" s="1" t="s">
        <v>23</v>
      </c>
    </row>
    <row r="93" spans="1:8" x14ac:dyDescent="0.25">
      <c r="B93" s="10" t="s">
        <v>78</v>
      </c>
      <c r="C93" s="10"/>
      <c r="D93" s="10"/>
      <c r="E93" s="5"/>
      <c r="F93" s="5"/>
      <c r="G93" s="4"/>
      <c r="H93" s="1"/>
    </row>
    <row r="94" spans="1:8" x14ac:dyDescent="0.25">
      <c r="B94" s="10" t="s">
        <v>10</v>
      </c>
      <c r="C94" s="10"/>
      <c r="D94" s="10"/>
      <c r="E94" s="10"/>
      <c r="F94" s="10"/>
      <c r="G94" s="1"/>
      <c r="H94" s="1"/>
    </row>
    <row r="95" spans="1:8" x14ac:dyDescent="0.25">
      <c r="B95" s="10" t="s">
        <v>79</v>
      </c>
      <c r="C95" s="10"/>
      <c r="D95" s="10"/>
      <c r="E95" s="10"/>
      <c r="F95" s="10"/>
      <c r="G95" s="1"/>
      <c r="H95" s="1"/>
    </row>
    <row r="96" spans="1:8" x14ac:dyDescent="0.25">
      <c r="B96" s="10"/>
      <c r="C96" s="10"/>
      <c r="D96" s="10"/>
      <c r="E96" s="10"/>
      <c r="F96" s="10"/>
      <c r="G96" s="1"/>
      <c r="H96" s="1"/>
    </row>
    <row r="97" spans="1:8" x14ac:dyDescent="0.25">
      <c r="B97" s="10" t="s">
        <v>81</v>
      </c>
      <c r="C97" s="10"/>
      <c r="D97" s="10"/>
      <c r="E97" s="10"/>
      <c r="F97" s="10"/>
      <c r="G97" s="1"/>
      <c r="H97" s="1"/>
    </row>
    <row r="98" spans="1:8" x14ac:dyDescent="0.25">
      <c r="B98" s="10" t="s">
        <v>10</v>
      </c>
      <c r="C98" s="10"/>
      <c r="D98" s="10"/>
      <c r="E98" s="10"/>
      <c r="F98" s="10"/>
      <c r="G98" s="1"/>
      <c r="H98" s="1"/>
    </row>
    <row r="99" spans="1:8" x14ac:dyDescent="0.25">
      <c r="B99" s="10"/>
      <c r="C99" s="10"/>
      <c r="D99" s="10"/>
      <c r="E99" s="10"/>
      <c r="F99" s="10"/>
      <c r="G99" s="1"/>
      <c r="H99" s="1"/>
    </row>
    <row r="100" spans="1:8" x14ac:dyDescent="0.25">
      <c r="B100" s="10" t="s">
        <v>82</v>
      </c>
      <c r="C100" s="10"/>
      <c r="D100" s="10"/>
      <c r="E100" s="10"/>
      <c r="F100" s="10"/>
      <c r="G100" s="1"/>
      <c r="H100" s="1"/>
    </row>
    <row r="101" spans="1:8" x14ac:dyDescent="0.25">
      <c r="A101" t="s">
        <v>83</v>
      </c>
      <c r="B101" s="10" t="s">
        <v>16</v>
      </c>
      <c r="C101" s="10"/>
      <c r="D101" s="10"/>
      <c r="E101" s="10"/>
      <c r="F101" s="10"/>
      <c r="G101" s="1">
        <f>G90*0.85</f>
        <v>10200</v>
      </c>
      <c r="H101" s="1"/>
    </row>
    <row r="102" spans="1:8" x14ac:dyDescent="0.25">
      <c r="B102" s="14" t="s">
        <v>84</v>
      </c>
      <c r="C102" s="14"/>
      <c r="D102" s="14"/>
      <c r="E102" s="14"/>
      <c r="F102" s="14"/>
      <c r="G102" s="1"/>
      <c r="H102" s="1">
        <f>G101</f>
        <v>10200</v>
      </c>
    </row>
    <row r="103" spans="1:8" x14ac:dyDescent="0.25">
      <c r="B103" s="10" t="s">
        <v>85</v>
      </c>
      <c r="C103" s="10"/>
      <c r="D103" s="10"/>
      <c r="E103" s="10"/>
      <c r="F103" s="10"/>
      <c r="G103" s="1"/>
      <c r="H103" s="1"/>
    </row>
    <row r="104" spans="1:8" x14ac:dyDescent="0.25">
      <c r="B104" s="10"/>
      <c r="C104" s="10"/>
      <c r="D104" s="10"/>
      <c r="E104" s="10"/>
      <c r="F104" s="10"/>
      <c r="G104" s="1"/>
      <c r="H104" s="1"/>
    </row>
    <row r="105" spans="1:8" x14ac:dyDescent="0.25">
      <c r="B105" s="10" t="s">
        <v>86</v>
      </c>
      <c r="C105" s="10"/>
      <c r="D105" s="10"/>
      <c r="E105" s="10"/>
      <c r="F105" s="10"/>
      <c r="G105" s="1"/>
      <c r="H105" s="1"/>
    </row>
    <row r="106" spans="1:8" x14ac:dyDescent="0.25">
      <c r="A106" t="s">
        <v>87</v>
      </c>
      <c r="B106" s="10" t="s">
        <v>16</v>
      </c>
      <c r="C106" s="10"/>
      <c r="D106" s="10"/>
      <c r="E106" s="10"/>
      <c r="F106" s="10"/>
      <c r="G106" s="1">
        <f>(76*1300)-170</f>
        <v>98630</v>
      </c>
      <c r="H106" s="1"/>
    </row>
    <row r="107" spans="1:8" x14ac:dyDescent="0.25">
      <c r="B107" s="10" t="s">
        <v>89</v>
      </c>
      <c r="C107" s="10"/>
      <c r="D107" s="10"/>
      <c r="E107" s="10"/>
      <c r="F107" s="10"/>
      <c r="G107" s="1">
        <f>H108-G106</f>
        <v>2185</v>
      </c>
      <c r="H107" s="1"/>
    </row>
    <row r="108" spans="1:8" x14ac:dyDescent="0.25">
      <c r="B108" s="14" t="s">
        <v>88</v>
      </c>
      <c r="C108" s="14"/>
      <c r="D108" s="14"/>
      <c r="E108" s="14"/>
      <c r="F108" s="14"/>
      <c r="G108" s="1"/>
      <c r="H108" s="1">
        <f>1300*(930600/12000)</f>
        <v>100815</v>
      </c>
    </row>
    <row r="109" spans="1:8" x14ac:dyDescent="0.25">
      <c r="B109" s="10" t="s">
        <v>90</v>
      </c>
      <c r="C109" s="10"/>
      <c r="D109" s="10"/>
      <c r="E109" s="10"/>
      <c r="F109" s="10"/>
      <c r="G109" s="1"/>
      <c r="H109" s="1"/>
    </row>
    <row r="110" spans="1:8" x14ac:dyDescent="0.25">
      <c r="B110" s="10" t="s">
        <v>91</v>
      </c>
      <c r="C110" s="10"/>
      <c r="D110" s="10"/>
      <c r="E110" s="10"/>
      <c r="F110" s="10"/>
      <c r="G110" s="1"/>
      <c r="H110" s="1"/>
    </row>
    <row r="111" spans="1:8" x14ac:dyDescent="0.25">
      <c r="B111" s="10" t="s">
        <v>92</v>
      </c>
      <c r="C111" s="10"/>
      <c r="D111" s="10"/>
      <c r="E111" s="10"/>
      <c r="F111" s="10"/>
      <c r="G111" s="1"/>
      <c r="H111" s="1"/>
    </row>
    <row r="112" spans="1:8" x14ac:dyDescent="0.25">
      <c r="B112" s="10" t="s">
        <v>93</v>
      </c>
      <c r="C112" s="10"/>
      <c r="D112" s="10"/>
      <c r="E112" s="10"/>
      <c r="F112" s="10"/>
      <c r="G112" s="1"/>
      <c r="H112" s="1"/>
    </row>
    <row r="113" spans="1:8" x14ac:dyDescent="0.25">
      <c r="B113" s="10"/>
      <c r="C113" s="10"/>
      <c r="D113" s="10"/>
      <c r="E113" s="10"/>
      <c r="F113" s="10"/>
      <c r="G113" s="1"/>
      <c r="H113" s="1"/>
    </row>
    <row r="114" spans="1:8" x14ac:dyDescent="0.25">
      <c r="B114" s="10" t="s">
        <v>94</v>
      </c>
      <c r="C114" s="10"/>
      <c r="D114" s="10"/>
      <c r="E114" s="10"/>
      <c r="F114" s="10"/>
      <c r="G114" s="1"/>
      <c r="H114" s="1"/>
    </row>
    <row r="115" spans="1:8" x14ac:dyDescent="0.25">
      <c r="B115" s="10" t="s">
        <v>10</v>
      </c>
      <c r="C115" s="10"/>
      <c r="D115" s="10"/>
      <c r="E115" s="10"/>
      <c r="F115" s="10"/>
      <c r="G115" s="1"/>
      <c r="H115" s="1"/>
    </row>
    <row r="116" spans="1:8" x14ac:dyDescent="0.25">
      <c r="B116" s="10" t="s">
        <v>95</v>
      </c>
      <c r="C116" s="10"/>
      <c r="D116" s="10"/>
      <c r="E116" s="10"/>
      <c r="F116" s="10"/>
      <c r="G116" s="1"/>
      <c r="H116" s="1"/>
    </row>
    <row r="117" spans="1:8" x14ac:dyDescent="0.25">
      <c r="B117" s="10"/>
      <c r="C117" s="10"/>
      <c r="D117" s="10"/>
      <c r="E117" s="10"/>
      <c r="F117" s="10"/>
      <c r="G117" s="1"/>
      <c r="H117" s="1"/>
    </row>
    <row r="118" spans="1:8" x14ac:dyDescent="0.25">
      <c r="B118" s="10" t="s">
        <v>25</v>
      </c>
      <c r="C118" s="10"/>
      <c r="D118" s="10"/>
      <c r="E118" s="10"/>
      <c r="F118" s="10"/>
      <c r="G118" s="1"/>
      <c r="H118" s="1"/>
    </row>
    <row r="119" spans="1:8" x14ac:dyDescent="0.25">
      <c r="A119" t="s">
        <v>96</v>
      </c>
      <c r="B119" s="10" t="s">
        <v>98</v>
      </c>
      <c r="C119" s="10"/>
      <c r="D119" s="10"/>
      <c r="E119" s="10"/>
      <c r="F119" s="10"/>
      <c r="G119" s="1">
        <f>(G92*79)-(E89-H108)</f>
        <v>15515</v>
      </c>
      <c r="H119" s="1"/>
    </row>
    <row r="120" spans="1:8" x14ac:dyDescent="0.25">
      <c r="B120" s="14" t="s">
        <v>97</v>
      </c>
      <c r="C120" s="14"/>
      <c r="D120" s="14"/>
      <c r="E120" s="14"/>
      <c r="F120" s="14"/>
      <c r="G120" s="1"/>
      <c r="H120" s="1">
        <f>G119</f>
        <v>15515</v>
      </c>
    </row>
    <row r="121" spans="1:8" x14ac:dyDescent="0.25">
      <c r="B121" s="10" t="s">
        <v>99</v>
      </c>
      <c r="C121" s="10"/>
      <c r="D121" s="10"/>
      <c r="E121" s="10"/>
      <c r="F121" s="10"/>
      <c r="G121" s="1"/>
      <c r="H121" s="1"/>
    </row>
    <row r="122" spans="1:8" x14ac:dyDescent="0.25">
      <c r="B122" s="10" t="s">
        <v>100</v>
      </c>
      <c r="C122" s="10"/>
      <c r="D122" s="10"/>
      <c r="E122" s="10"/>
      <c r="F122" s="10"/>
      <c r="G122" s="1"/>
      <c r="H122" s="1"/>
    </row>
    <row r="123" spans="1:8" x14ac:dyDescent="0.25">
      <c r="B123" s="10" t="s">
        <v>101</v>
      </c>
      <c r="C123" s="10"/>
      <c r="D123" s="10"/>
      <c r="E123" s="10"/>
      <c r="F123" s="10"/>
      <c r="G123" s="1"/>
      <c r="H123" s="1"/>
    </row>
    <row r="124" spans="1:8" x14ac:dyDescent="0.25">
      <c r="B124" s="10"/>
      <c r="C124" s="10"/>
      <c r="D124" s="10"/>
      <c r="E124" s="10"/>
      <c r="F124" s="10"/>
      <c r="G124" s="1"/>
      <c r="H124" s="1"/>
    </row>
    <row r="125" spans="1:8" x14ac:dyDescent="0.25">
      <c r="B125" s="10"/>
      <c r="C125" s="10"/>
      <c r="D125" s="10"/>
      <c r="E125" s="10"/>
      <c r="F125" s="10"/>
      <c r="G125" s="1"/>
      <c r="H125" s="1"/>
    </row>
    <row r="126" spans="1:8" x14ac:dyDescent="0.25">
      <c r="B126" s="10"/>
      <c r="C126" s="10"/>
      <c r="D126" s="10"/>
      <c r="E126" s="10"/>
      <c r="F126" s="10"/>
      <c r="G126" s="1"/>
      <c r="H126" s="1"/>
    </row>
    <row r="127" spans="1:8" x14ac:dyDescent="0.25">
      <c r="B127" s="10"/>
      <c r="C127" s="10"/>
      <c r="D127" s="10"/>
      <c r="E127" s="10"/>
      <c r="F127" s="10"/>
      <c r="G127" s="1"/>
      <c r="H127" s="1"/>
    </row>
    <row r="128" spans="1:8" x14ac:dyDescent="0.25">
      <c r="B128" s="10"/>
      <c r="C128" s="10"/>
      <c r="D128" s="10"/>
      <c r="E128" s="10"/>
      <c r="F128" s="10"/>
      <c r="G128" s="1"/>
      <c r="H128" s="1"/>
    </row>
    <row r="129" spans="2:8" x14ac:dyDescent="0.25">
      <c r="B129" s="10"/>
      <c r="C129" s="10"/>
      <c r="D129" s="10"/>
      <c r="E129" s="10"/>
      <c r="F129" s="10"/>
      <c r="G129" s="1"/>
      <c r="H129" s="1"/>
    </row>
    <row r="130" spans="2:8" x14ac:dyDescent="0.25">
      <c r="B130" s="10"/>
      <c r="C130" s="10"/>
      <c r="D130" s="10"/>
      <c r="E130" s="10"/>
      <c r="F130" s="10"/>
      <c r="G130" s="1"/>
      <c r="H130" s="1"/>
    </row>
    <row r="131" spans="2:8" x14ac:dyDescent="0.25">
      <c r="B131" s="10"/>
      <c r="C131" s="10"/>
      <c r="D131" s="10"/>
      <c r="E131" s="10"/>
      <c r="F131" s="10"/>
      <c r="G131" s="1"/>
      <c r="H131" s="1"/>
    </row>
    <row r="132" spans="2:8" x14ac:dyDescent="0.25">
      <c r="B132" s="10"/>
      <c r="C132" s="10"/>
      <c r="D132" s="10"/>
      <c r="E132" s="10"/>
      <c r="F132" s="10"/>
      <c r="G132" s="1"/>
      <c r="H132" s="1"/>
    </row>
    <row r="133" spans="2:8" x14ac:dyDescent="0.25">
      <c r="B133" s="10"/>
      <c r="C133" s="10"/>
      <c r="D133" s="10"/>
      <c r="E133" s="10"/>
      <c r="F133" s="10"/>
      <c r="G133" s="1"/>
      <c r="H133" s="1"/>
    </row>
    <row r="134" spans="2:8" x14ac:dyDescent="0.25">
      <c r="B134" s="10"/>
      <c r="C134" s="10"/>
      <c r="D134" s="10"/>
      <c r="E134" s="10"/>
      <c r="F134" s="10"/>
      <c r="G134" s="1"/>
      <c r="H134" s="1"/>
    </row>
    <row r="135" spans="2:8" x14ac:dyDescent="0.25">
      <c r="B135" s="10"/>
      <c r="C135" s="10"/>
      <c r="D135" s="10"/>
      <c r="E135" s="10"/>
      <c r="F135" s="10"/>
      <c r="G135" s="1"/>
      <c r="H135" s="1"/>
    </row>
    <row r="136" spans="2:8" x14ac:dyDescent="0.25">
      <c r="B136" s="10"/>
      <c r="C136" s="10"/>
      <c r="D136" s="10"/>
      <c r="E136" s="10"/>
      <c r="F136" s="10"/>
      <c r="G136" s="1"/>
      <c r="H136" s="1"/>
    </row>
    <row r="137" spans="2:8" x14ac:dyDescent="0.25">
      <c r="B137" s="10"/>
      <c r="C137" s="10"/>
      <c r="D137" s="10"/>
      <c r="E137" s="10"/>
      <c r="F137" s="10"/>
      <c r="G137" s="1"/>
      <c r="H137" s="1"/>
    </row>
    <row r="138" spans="2:8" x14ac:dyDescent="0.25">
      <c r="B138" s="10"/>
      <c r="C138" s="10"/>
      <c r="D138" s="10"/>
      <c r="E138" s="10"/>
      <c r="F138" s="10"/>
      <c r="G138" s="1"/>
      <c r="H138" s="1"/>
    </row>
    <row r="139" spans="2:8" x14ac:dyDescent="0.25">
      <c r="B139" s="10"/>
      <c r="C139" s="10"/>
      <c r="D139" s="10"/>
      <c r="E139" s="10"/>
      <c r="F139" s="10"/>
      <c r="G139" s="1"/>
      <c r="H139" s="1"/>
    </row>
    <row r="140" spans="2:8" x14ac:dyDescent="0.25">
      <c r="B140" s="10"/>
      <c r="C140" s="10"/>
      <c r="D140" s="10"/>
      <c r="E140" s="10"/>
      <c r="F140" s="10"/>
      <c r="G140" s="1"/>
      <c r="H140" s="1"/>
    </row>
    <row r="141" spans="2:8" x14ac:dyDescent="0.25">
      <c r="B141" s="10"/>
      <c r="C141" s="10"/>
      <c r="D141" s="10"/>
      <c r="E141" s="10"/>
      <c r="F141" s="10"/>
      <c r="G141" s="1"/>
      <c r="H141" s="1"/>
    </row>
    <row r="142" spans="2:8" x14ac:dyDescent="0.25">
      <c r="B142" s="10"/>
      <c r="C142" s="10"/>
      <c r="D142" s="10"/>
      <c r="E142" s="10"/>
      <c r="F142" s="10"/>
      <c r="G142" s="1"/>
      <c r="H142" s="1"/>
    </row>
    <row r="143" spans="2:8" x14ac:dyDescent="0.25">
      <c r="B143" s="10"/>
      <c r="C143" s="10"/>
      <c r="D143" s="10"/>
      <c r="E143" s="10"/>
      <c r="F143" s="10"/>
      <c r="G143" s="1"/>
      <c r="H143" s="1"/>
    </row>
    <row r="144" spans="2:8" x14ac:dyDescent="0.25">
      <c r="B144" s="10"/>
      <c r="C144" s="10"/>
      <c r="D144" s="10"/>
      <c r="E144" s="10"/>
      <c r="F144" s="10"/>
      <c r="G144" s="1"/>
      <c r="H144" s="1"/>
    </row>
    <row r="145" spans="2:8" x14ac:dyDescent="0.25">
      <c r="B145" s="10"/>
      <c r="C145" s="10"/>
      <c r="D145" s="10"/>
      <c r="E145" s="10"/>
      <c r="F145" s="10"/>
      <c r="G145" s="1"/>
      <c r="H145" s="1"/>
    </row>
    <row r="146" spans="2:8" x14ac:dyDescent="0.25">
      <c r="B146" s="10"/>
      <c r="C146" s="10"/>
      <c r="D146" s="10"/>
      <c r="E146" s="10"/>
      <c r="F146" s="10"/>
      <c r="G146" s="1"/>
      <c r="H146" s="1"/>
    </row>
    <row r="147" spans="2:8" x14ac:dyDescent="0.25">
      <c r="B147" s="10"/>
      <c r="C147" s="10"/>
      <c r="D147" s="10"/>
      <c r="E147" s="10"/>
      <c r="F147" s="10"/>
      <c r="G147" s="1"/>
      <c r="H147" s="1"/>
    </row>
    <row r="148" spans="2:8" x14ac:dyDescent="0.25">
      <c r="B148" s="10"/>
      <c r="C148" s="10"/>
      <c r="D148" s="10"/>
      <c r="E148" s="10"/>
      <c r="F148" s="10"/>
      <c r="G148" s="1"/>
      <c r="H148" s="1"/>
    </row>
    <row r="149" spans="2:8" x14ac:dyDescent="0.25">
      <c r="B149" s="10"/>
      <c r="C149" s="10"/>
      <c r="D149" s="10"/>
      <c r="E149" s="10"/>
      <c r="F149" s="10"/>
      <c r="G149" s="1"/>
      <c r="H149" s="1"/>
    </row>
    <row r="150" spans="2:8" x14ac:dyDescent="0.25">
      <c r="B150" s="10"/>
      <c r="C150" s="10"/>
      <c r="D150" s="10"/>
      <c r="E150" s="10"/>
      <c r="F150" s="10"/>
      <c r="G150" s="1"/>
      <c r="H150" s="1"/>
    </row>
    <row r="151" spans="2:8" x14ac:dyDescent="0.25">
      <c r="B151" s="10"/>
      <c r="C151" s="10"/>
      <c r="D151" s="10"/>
      <c r="E151" s="10"/>
      <c r="F151" s="10"/>
      <c r="G151" s="1"/>
      <c r="H151" s="1"/>
    </row>
    <row r="152" spans="2:8" x14ac:dyDescent="0.25">
      <c r="B152" s="10"/>
      <c r="C152" s="10"/>
      <c r="D152" s="10"/>
      <c r="E152" s="10"/>
      <c r="F152" s="10"/>
      <c r="G152" s="1"/>
      <c r="H152" s="1"/>
    </row>
    <row r="153" spans="2:8" x14ac:dyDescent="0.25">
      <c r="B153" s="10"/>
      <c r="C153" s="10"/>
      <c r="D153" s="10"/>
      <c r="E153" s="10"/>
      <c r="F153" s="10"/>
      <c r="G153" s="1"/>
      <c r="H153" s="1"/>
    </row>
    <row r="154" spans="2:8" x14ac:dyDescent="0.25">
      <c r="B154" s="10"/>
      <c r="C154" s="10"/>
      <c r="D154" s="10"/>
      <c r="E154" s="10"/>
      <c r="F154" s="10"/>
      <c r="G154" s="1"/>
      <c r="H154" s="1"/>
    </row>
    <row r="155" spans="2:8" x14ac:dyDescent="0.25">
      <c r="B155" s="10"/>
      <c r="C155" s="10"/>
      <c r="D155" s="10"/>
      <c r="E155" s="10"/>
      <c r="F155" s="10"/>
      <c r="G155" s="1"/>
      <c r="H155" s="1"/>
    </row>
    <row r="156" spans="2:8" x14ac:dyDescent="0.25">
      <c r="B156" s="10"/>
      <c r="C156" s="10"/>
      <c r="D156" s="10"/>
      <c r="E156" s="10"/>
      <c r="F156" s="10"/>
      <c r="G156" s="1"/>
      <c r="H156" s="1"/>
    </row>
    <row r="157" spans="2:8" x14ac:dyDescent="0.25">
      <c r="B157" s="10"/>
      <c r="C157" s="10"/>
      <c r="D157" s="10"/>
      <c r="E157" s="10"/>
      <c r="F157" s="10"/>
      <c r="G157" s="1"/>
      <c r="H157" s="1"/>
    </row>
    <row r="158" spans="2:8" x14ac:dyDescent="0.25">
      <c r="B158" s="10"/>
      <c r="C158" s="10"/>
      <c r="D158" s="10"/>
      <c r="E158" s="10"/>
      <c r="F158" s="10"/>
      <c r="G158" s="1"/>
      <c r="H158" s="1"/>
    </row>
    <row r="159" spans="2:8" x14ac:dyDescent="0.25">
      <c r="B159" s="10"/>
      <c r="C159" s="10"/>
      <c r="D159" s="10"/>
      <c r="E159" s="10"/>
      <c r="F159" s="10"/>
      <c r="G159" s="1"/>
      <c r="H159" s="1"/>
    </row>
    <row r="160" spans="2:8" x14ac:dyDescent="0.25">
      <c r="B160" s="10"/>
      <c r="C160" s="10"/>
      <c r="D160" s="10"/>
      <c r="E160" s="10"/>
      <c r="F160" s="10"/>
      <c r="G160" s="1"/>
      <c r="H160" s="1"/>
    </row>
    <row r="161" spans="2:8" x14ac:dyDescent="0.25">
      <c r="B161" s="10"/>
      <c r="C161" s="10"/>
      <c r="D161" s="10"/>
      <c r="E161" s="10"/>
      <c r="F161" s="10"/>
      <c r="G161" s="1"/>
      <c r="H161" s="1"/>
    </row>
    <row r="162" spans="2:8" x14ac:dyDescent="0.25">
      <c r="B162" s="10"/>
      <c r="C162" s="10"/>
      <c r="D162" s="10"/>
      <c r="E162" s="10"/>
      <c r="F162" s="10"/>
      <c r="G162" s="1"/>
      <c r="H162" s="1"/>
    </row>
    <row r="163" spans="2:8" x14ac:dyDescent="0.25">
      <c r="B163" s="10"/>
      <c r="C163" s="10"/>
      <c r="D163" s="10"/>
      <c r="E163" s="10"/>
      <c r="F163" s="10"/>
      <c r="G163" s="1"/>
      <c r="H163" s="1"/>
    </row>
    <row r="164" spans="2:8" x14ac:dyDescent="0.25">
      <c r="B164" s="10"/>
      <c r="C164" s="10"/>
      <c r="D164" s="10"/>
      <c r="E164" s="10"/>
      <c r="F164" s="10"/>
      <c r="G164" s="1"/>
      <c r="H164" s="1"/>
    </row>
    <row r="165" spans="2:8" x14ac:dyDescent="0.25">
      <c r="B165" s="10"/>
      <c r="C165" s="10"/>
      <c r="D165" s="10"/>
      <c r="E165" s="10"/>
      <c r="F165" s="10"/>
      <c r="G165" s="1"/>
      <c r="H165" s="1"/>
    </row>
    <row r="166" spans="2:8" x14ac:dyDescent="0.25">
      <c r="B166" s="10"/>
      <c r="C166" s="10"/>
      <c r="D166" s="10"/>
      <c r="E166" s="10"/>
      <c r="F166" s="10"/>
      <c r="G166" s="1"/>
      <c r="H166" s="1"/>
    </row>
    <row r="167" spans="2:8" x14ac:dyDescent="0.25">
      <c r="B167" s="10"/>
      <c r="C167" s="10"/>
      <c r="D167" s="10"/>
      <c r="E167" s="10"/>
      <c r="F167" s="10"/>
      <c r="G167" s="1"/>
      <c r="H167" s="1"/>
    </row>
    <row r="168" spans="2:8" x14ac:dyDescent="0.25">
      <c r="B168" s="10"/>
      <c r="C168" s="10"/>
      <c r="D168" s="10"/>
      <c r="E168" s="10"/>
      <c r="F168" s="10"/>
      <c r="G168" s="1"/>
      <c r="H168" s="1"/>
    </row>
    <row r="169" spans="2:8" x14ac:dyDescent="0.25">
      <c r="B169" s="10"/>
      <c r="C169" s="10"/>
      <c r="D169" s="10"/>
      <c r="E169" s="10"/>
      <c r="F169" s="10"/>
      <c r="G169" s="1"/>
      <c r="H169" s="1"/>
    </row>
    <row r="170" spans="2:8" x14ac:dyDescent="0.25">
      <c r="B170" s="10"/>
      <c r="C170" s="10"/>
      <c r="D170" s="10"/>
      <c r="E170" s="10"/>
      <c r="F170" s="10"/>
      <c r="G170" s="1"/>
      <c r="H170" s="1"/>
    </row>
    <row r="171" spans="2:8" x14ac:dyDescent="0.25">
      <c r="B171" s="10"/>
      <c r="C171" s="10"/>
      <c r="D171" s="10"/>
      <c r="E171" s="10"/>
      <c r="F171" s="10"/>
      <c r="G171" s="1"/>
      <c r="H171" s="1"/>
    </row>
    <row r="172" spans="2:8" x14ac:dyDescent="0.25">
      <c r="B172" s="10"/>
      <c r="C172" s="10"/>
      <c r="D172" s="10"/>
      <c r="E172" s="10"/>
      <c r="F172" s="10"/>
      <c r="G172" s="1"/>
      <c r="H172" s="1"/>
    </row>
    <row r="173" spans="2:8" x14ac:dyDescent="0.25">
      <c r="B173" s="10"/>
      <c r="C173" s="10"/>
      <c r="D173" s="10"/>
      <c r="E173" s="10"/>
      <c r="F173" s="10"/>
      <c r="G173" s="1"/>
      <c r="H173" s="1"/>
    </row>
    <row r="174" spans="2:8" x14ac:dyDescent="0.25">
      <c r="B174" s="10"/>
      <c r="C174" s="10"/>
      <c r="D174" s="10"/>
      <c r="E174" s="10"/>
      <c r="F174" s="10"/>
      <c r="G174" s="1"/>
      <c r="H174" s="1"/>
    </row>
    <row r="175" spans="2:8" x14ac:dyDescent="0.25">
      <c r="B175" s="10"/>
      <c r="C175" s="10"/>
      <c r="D175" s="10"/>
      <c r="E175" s="10"/>
      <c r="F175" s="10"/>
      <c r="G175" s="1"/>
      <c r="H175" s="1"/>
    </row>
    <row r="176" spans="2:8" x14ac:dyDescent="0.25">
      <c r="B176" s="10"/>
      <c r="C176" s="10"/>
      <c r="D176" s="10"/>
      <c r="E176" s="10"/>
      <c r="F176" s="10"/>
      <c r="G176" s="1"/>
      <c r="H176" s="1"/>
    </row>
    <row r="177" spans="2:8" x14ac:dyDescent="0.25">
      <c r="B177" s="10"/>
      <c r="C177" s="10"/>
      <c r="D177" s="10"/>
      <c r="E177" s="10"/>
      <c r="F177" s="10"/>
      <c r="G177" s="1"/>
      <c r="H177" s="1"/>
    </row>
    <row r="178" spans="2:8" x14ac:dyDescent="0.25">
      <c r="B178" s="10"/>
      <c r="C178" s="10"/>
      <c r="D178" s="10"/>
      <c r="E178" s="10"/>
      <c r="F178" s="10"/>
      <c r="G178" s="1"/>
      <c r="H178" s="1"/>
    </row>
    <row r="179" spans="2:8" x14ac:dyDescent="0.25">
      <c r="B179" s="10"/>
      <c r="C179" s="10"/>
      <c r="D179" s="10"/>
      <c r="E179" s="10"/>
      <c r="F179" s="10"/>
      <c r="G179" s="1"/>
      <c r="H179" s="1"/>
    </row>
    <row r="180" spans="2:8" x14ac:dyDescent="0.25">
      <c r="B180" s="10"/>
      <c r="C180" s="10"/>
      <c r="D180" s="10"/>
      <c r="E180" s="10"/>
      <c r="F180" s="10"/>
      <c r="G180" s="1"/>
      <c r="H180" s="1"/>
    </row>
    <row r="181" spans="2:8" x14ac:dyDescent="0.25">
      <c r="B181" s="10"/>
      <c r="C181" s="10"/>
      <c r="D181" s="10"/>
      <c r="E181" s="10"/>
      <c r="F181" s="10"/>
      <c r="G181" s="1"/>
      <c r="H181" s="1"/>
    </row>
    <row r="182" spans="2:8" x14ac:dyDescent="0.25">
      <c r="B182" s="10"/>
      <c r="C182" s="10"/>
      <c r="D182" s="10"/>
      <c r="E182" s="10"/>
      <c r="F182" s="10"/>
      <c r="G182" s="1"/>
      <c r="H182" s="1"/>
    </row>
    <row r="183" spans="2:8" x14ac:dyDescent="0.25">
      <c r="B183" s="10"/>
      <c r="C183" s="10"/>
      <c r="D183" s="10"/>
      <c r="E183" s="10"/>
      <c r="F183" s="10"/>
      <c r="G183" s="1"/>
      <c r="H183" s="1"/>
    </row>
    <row r="184" spans="2:8" x14ac:dyDescent="0.25">
      <c r="B184" s="10"/>
      <c r="C184" s="10"/>
      <c r="D184" s="10"/>
      <c r="E184" s="10"/>
      <c r="F184" s="10"/>
      <c r="G184" s="1"/>
      <c r="H184" s="1"/>
    </row>
    <row r="185" spans="2:8" x14ac:dyDescent="0.25">
      <c r="B185" s="10"/>
      <c r="C185" s="10"/>
      <c r="D185" s="10"/>
      <c r="E185" s="10"/>
      <c r="F185" s="10"/>
      <c r="G185" s="1"/>
      <c r="H185" s="1"/>
    </row>
    <row r="186" spans="2:8" x14ac:dyDescent="0.25">
      <c r="B186" s="10"/>
      <c r="C186" s="10"/>
      <c r="D186" s="10"/>
      <c r="E186" s="10"/>
      <c r="F186" s="10"/>
      <c r="G186" s="1"/>
      <c r="H186" s="1"/>
    </row>
    <row r="187" spans="2:8" x14ac:dyDescent="0.25">
      <c r="B187" s="10"/>
      <c r="C187" s="10"/>
      <c r="D187" s="10"/>
      <c r="E187" s="10"/>
      <c r="F187" s="10"/>
      <c r="G187" s="1"/>
      <c r="H187" s="1"/>
    </row>
    <row r="188" spans="2:8" x14ac:dyDescent="0.25">
      <c r="B188" s="10"/>
      <c r="C188" s="10"/>
      <c r="D188" s="10"/>
      <c r="E188" s="10"/>
      <c r="F188" s="10"/>
      <c r="G188" s="1"/>
      <c r="H188" s="1"/>
    </row>
    <row r="189" spans="2:8" x14ac:dyDescent="0.25">
      <c r="B189" s="10"/>
      <c r="C189" s="10"/>
      <c r="D189" s="10"/>
      <c r="E189" s="10"/>
      <c r="F189" s="10"/>
      <c r="G189" s="1"/>
      <c r="H189" s="1"/>
    </row>
    <row r="190" spans="2:8" x14ac:dyDescent="0.25">
      <c r="B190" s="10"/>
      <c r="C190" s="10"/>
      <c r="D190" s="10"/>
      <c r="E190" s="10"/>
      <c r="F190" s="10"/>
      <c r="G190" s="1"/>
      <c r="H190" s="1"/>
    </row>
    <row r="191" spans="2:8" x14ac:dyDescent="0.25">
      <c r="B191" s="10"/>
      <c r="C191" s="10"/>
      <c r="D191" s="10"/>
      <c r="E191" s="10"/>
      <c r="F191" s="10"/>
      <c r="G191" s="1"/>
      <c r="H191" s="1"/>
    </row>
    <row r="192" spans="2:8" x14ac:dyDescent="0.25">
      <c r="B192" s="10"/>
      <c r="C192" s="10"/>
      <c r="D192" s="10"/>
      <c r="E192" s="10"/>
      <c r="F192" s="10"/>
      <c r="G192" s="1"/>
      <c r="H192" s="1"/>
    </row>
    <row r="193" spans="2:8" x14ac:dyDescent="0.25">
      <c r="B193" s="10"/>
      <c r="C193" s="10"/>
      <c r="D193" s="10"/>
      <c r="E193" s="10"/>
      <c r="F193" s="10"/>
      <c r="G193" s="1"/>
      <c r="H193" s="1"/>
    </row>
    <row r="194" spans="2:8" x14ac:dyDescent="0.25">
      <c r="B194" s="10"/>
      <c r="C194" s="10"/>
      <c r="D194" s="10"/>
      <c r="E194" s="10"/>
      <c r="F194" s="10"/>
      <c r="G194" s="1"/>
      <c r="H194" s="1"/>
    </row>
    <row r="195" spans="2:8" x14ac:dyDescent="0.25">
      <c r="B195" s="10"/>
      <c r="C195" s="10"/>
      <c r="D195" s="10"/>
      <c r="E195" s="10"/>
      <c r="F195" s="10"/>
      <c r="G195" s="1"/>
      <c r="H195" s="1"/>
    </row>
    <row r="196" spans="2:8" x14ac:dyDescent="0.25">
      <c r="B196" s="10"/>
      <c r="C196" s="10"/>
      <c r="D196" s="10"/>
      <c r="E196" s="10"/>
      <c r="F196" s="10"/>
      <c r="G196" s="1"/>
      <c r="H196" s="1"/>
    </row>
    <row r="197" spans="2:8" x14ac:dyDescent="0.25">
      <c r="B197" s="10"/>
      <c r="C197" s="10"/>
      <c r="D197" s="10"/>
      <c r="E197" s="10"/>
      <c r="F197" s="10"/>
      <c r="G197" s="1"/>
      <c r="H197" s="1"/>
    </row>
    <row r="198" spans="2:8" x14ac:dyDescent="0.25">
      <c r="B198" s="10"/>
      <c r="C198" s="10"/>
      <c r="D198" s="10"/>
      <c r="E198" s="10"/>
      <c r="F198" s="10"/>
      <c r="G198" s="1"/>
      <c r="H198" s="1"/>
    </row>
    <row r="199" spans="2:8" x14ac:dyDescent="0.25">
      <c r="B199" s="10"/>
      <c r="C199" s="10"/>
      <c r="D199" s="10"/>
      <c r="E199" s="10"/>
      <c r="F199" s="10"/>
      <c r="G199" s="1"/>
      <c r="H199" s="1"/>
    </row>
    <row r="200" spans="2:8" x14ac:dyDescent="0.25">
      <c r="B200" s="10"/>
      <c r="C200" s="10"/>
      <c r="D200" s="10"/>
      <c r="E200" s="10"/>
      <c r="F200" s="10"/>
      <c r="G200" s="1"/>
      <c r="H200" s="1"/>
    </row>
    <row r="201" spans="2:8" x14ac:dyDescent="0.25">
      <c r="B201" s="10"/>
      <c r="C201" s="10"/>
      <c r="D201" s="10"/>
      <c r="E201" s="10"/>
      <c r="F201" s="10"/>
      <c r="G201" s="1"/>
      <c r="H201" s="1"/>
    </row>
    <row r="202" spans="2:8" x14ac:dyDescent="0.25">
      <c r="B202" s="10"/>
      <c r="C202" s="10"/>
      <c r="D202" s="10"/>
      <c r="E202" s="10"/>
      <c r="F202" s="10"/>
      <c r="G202" s="1"/>
      <c r="H202" s="1"/>
    </row>
    <row r="203" spans="2:8" x14ac:dyDescent="0.25">
      <c r="B203" s="10"/>
      <c r="C203" s="10"/>
      <c r="D203" s="10"/>
      <c r="E203" s="10"/>
      <c r="F203" s="10"/>
      <c r="G203" s="1"/>
      <c r="H203" s="1"/>
    </row>
    <row r="204" spans="2:8" x14ac:dyDescent="0.25">
      <c r="B204" s="10"/>
      <c r="C204" s="10"/>
      <c r="D204" s="10"/>
      <c r="E204" s="10"/>
      <c r="F204" s="10"/>
      <c r="G204" s="1"/>
      <c r="H204" s="1"/>
    </row>
    <row r="205" spans="2:8" x14ac:dyDescent="0.25">
      <c r="B205" s="10"/>
      <c r="C205" s="10"/>
      <c r="D205" s="10"/>
      <c r="E205" s="10"/>
      <c r="F205" s="10"/>
      <c r="G205" s="1"/>
      <c r="H205" s="1"/>
    </row>
    <row r="206" spans="2:8" x14ac:dyDescent="0.25">
      <c r="B206" s="10"/>
      <c r="C206" s="10"/>
      <c r="D206" s="10"/>
      <c r="E206" s="10"/>
      <c r="F206" s="10"/>
      <c r="G206" s="1"/>
      <c r="H206" s="1"/>
    </row>
    <row r="207" spans="2:8" x14ac:dyDescent="0.25">
      <c r="B207" s="10"/>
      <c r="C207" s="10"/>
      <c r="D207" s="10"/>
      <c r="E207" s="10"/>
      <c r="F207" s="10"/>
      <c r="G207" s="1"/>
      <c r="H207" s="1"/>
    </row>
    <row r="208" spans="2:8" x14ac:dyDescent="0.25">
      <c r="B208" s="10"/>
      <c r="C208" s="10"/>
      <c r="D208" s="10"/>
      <c r="E208" s="10"/>
      <c r="F208" s="10"/>
      <c r="G208" s="1"/>
      <c r="H208" s="1"/>
    </row>
    <row r="209" spans="2:8" x14ac:dyDescent="0.25">
      <c r="B209" s="10"/>
      <c r="C209" s="10"/>
      <c r="D209" s="10"/>
      <c r="E209" s="10"/>
      <c r="F209" s="10"/>
      <c r="G209" s="1"/>
      <c r="H209" s="1"/>
    </row>
    <row r="210" spans="2:8" x14ac:dyDescent="0.25">
      <c r="B210" s="10"/>
      <c r="C210" s="10"/>
      <c r="D210" s="10"/>
      <c r="E210" s="10"/>
      <c r="F210" s="10"/>
      <c r="G210" s="1"/>
      <c r="H210" s="1"/>
    </row>
    <row r="211" spans="2:8" x14ac:dyDescent="0.25">
      <c r="B211" s="10"/>
      <c r="C211" s="10"/>
      <c r="D211" s="10"/>
      <c r="E211" s="10"/>
      <c r="F211" s="10"/>
      <c r="G211" s="1"/>
      <c r="H211" s="1"/>
    </row>
    <row r="212" spans="2:8" x14ac:dyDescent="0.25">
      <c r="B212" s="10"/>
      <c r="C212" s="10"/>
      <c r="D212" s="10"/>
      <c r="E212" s="10"/>
      <c r="F212" s="10"/>
      <c r="G212" s="1"/>
      <c r="H212" s="1"/>
    </row>
    <row r="213" spans="2:8" x14ac:dyDescent="0.25">
      <c r="B213" s="10"/>
      <c r="C213" s="10"/>
      <c r="D213" s="10"/>
      <c r="E213" s="10"/>
      <c r="F213" s="10"/>
      <c r="G213" s="1"/>
      <c r="H213" s="1"/>
    </row>
    <row r="214" spans="2:8" x14ac:dyDescent="0.25">
      <c r="B214" s="10"/>
      <c r="C214" s="10"/>
      <c r="D214" s="10"/>
      <c r="E214" s="10"/>
      <c r="F214" s="10"/>
      <c r="G214" s="1"/>
      <c r="H214" s="1"/>
    </row>
    <row r="215" spans="2:8" x14ac:dyDescent="0.25">
      <c r="B215" s="10"/>
      <c r="C215" s="10"/>
      <c r="D215" s="10"/>
      <c r="E215" s="10"/>
      <c r="F215" s="10"/>
      <c r="G215" s="1"/>
      <c r="H215" s="1"/>
    </row>
  </sheetData>
  <mergeCells count="234">
    <mergeCell ref="B90:D90"/>
    <mergeCell ref="B91:D91"/>
    <mergeCell ref="B92:D92"/>
    <mergeCell ref="B93:D93"/>
    <mergeCell ref="B5:D5"/>
    <mergeCell ref="A45:B45"/>
    <mergeCell ref="C45:D45"/>
    <mergeCell ref="E45:F45"/>
    <mergeCell ref="G45:H45"/>
    <mergeCell ref="B46:C46"/>
    <mergeCell ref="D46:E46"/>
    <mergeCell ref="F46:G46"/>
    <mergeCell ref="B85:F85"/>
    <mergeCell ref="B86:D86"/>
    <mergeCell ref="B87:D87"/>
    <mergeCell ref="B88:D88"/>
    <mergeCell ref="B89:D89"/>
    <mergeCell ref="B79:F79"/>
    <mergeCell ref="B80:F80"/>
    <mergeCell ref="B81:F81"/>
    <mergeCell ref="B83:F83"/>
    <mergeCell ref="B84:F84"/>
    <mergeCell ref="G87:H87"/>
    <mergeCell ref="B73:F73"/>
    <mergeCell ref="B211:F211"/>
    <mergeCell ref="B212:F212"/>
    <mergeCell ref="B213:F213"/>
    <mergeCell ref="B214:F214"/>
    <mergeCell ref="B215:F215"/>
    <mergeCell ref="G4:H4"/>
    <mergeCell ref="B4:D4"/>
    <mergeCell ref="B6:D6"/>
    <mergeCell ref="B7:D7"/>
    <mergeCell ref="B47:C47"/>
    <mergeCell ref="B205:F205"/>
    <mergeCell ref="B206:F206"/>
    <mergeCell ref="B207:F207"/>
    <mergeCell ref="B208:F208"/>
    <mergeCell ref="B209:F209"/>
    <mergeCell ref="B210:F210"/>
    <mergeCell ref="B199:F199"/>
    <mergeCell ref="B200:F200"/>
    <mergeCell ref="B201:F201"/>
    <mergeCell ref="B202:F202"/>
    <mergeCell ref="B203:F203"/>
    <mergeCell ref="B204:F204"/>
    <mergeCell ref="B193:F193"/>
    <mergeCell ref="B194:F194"/>
    <mergeCell ref="B195:F195"/>
    <mergeCell ref="B196:F196"/>
    <mergeCell ref="B197:F197"/>
    <mergeCell ref="B198:F198"/>
    <mergeCell ref="B187:F187"/>
    <mergeCell ref="B188:F188"/>
    <mergeCell ref="B189:F189"/>
    <mergeCell ref="B190:F190"/>
    <mergeCell ref="B191:F191"/>
    <mergeCell ref="B192:F192"/>
    <mergeCell ref="B181:F181"/>
    <mergeCell ref="B182:F182"/>
    <mergeCell ref="B183:F183"/>
    <mergeCell ref="B184:F184"/>
    <mergeCell ref="B185:F185"/>
    <mergeCell ref="B186:F186"/>
    <mergeCell ref="B175:F175"/>
    <mergeCell ref="B176:F176"/>
    <mergeCell ref="B177:F177"/>
    <mergeCell ref="B178:F178"/>
    <mergeCell ref="B179:F179"/>
    <mergeCell ref="B180:F180"/>
    <mergeCell ref="B169:F169"/>
    <mergeCell ref="B170:F170"/>
    <mergeCell ref="B171:F171"/>
    <mergeCell ref="B172:F172"/>
    <mergeCell ref="B173:F173"/>
    <mergeCell ref="B174:F174"/>
    <mergeCell ref="B163:F163"/>
    <mergeCell ref="B164:F164"/>
    <mergeCell ref="B165:F165"/>
    <mergeCell ref="B166:F166"/>
    <mergeCell ref="B167:F167"/>
    <mergeCell ref="B168:F168"/>
    <mergeCell ref="B157:F157"/>
    <mergeCell ref="B158:F158"/>
    <mergeCell ref="B159:F159"/>
    <mergeCell ref="B160:F160"/>
    <mergeCell ref="B161:F161"/>
    <mergeCell ref="B162:F162"/>
    <mergeCell ref="B151:F151"/>
    <mergeCell ref="B152:F152"/>
    <mergeCell ref="B153:F153"/>
    <mergeCell ref="B154:F154"/>
    <mergeCell ref="B155:F155"/>
    <mergeCell ref="B156:F156"/>
    <mergeCell ref="B145:F145"/>
    <mergeCell ref="B146:F146"/>
    <mergeCell ref="B147:F147"/>
    <mergeCell ref="B148:F148"/>
    <mergeCell ref="B149:F149"/>
    <mergeCell ref="B150:F150"/>
    <mergeCell ref="B139:F139"/>
    <mergeCell ref="B140:F140"/>
    <mergeCell ref="B141:F141"/>
    <mergeCell ref="B142:F142"/>
    <mergeCell ref="B143:F143"/>
    <mergeCell ref="B144:F144"/>
    <mergeCell ref="B133:F133"/>
    <mergeCell ref="B134:F134"/>
    <mergeCell ref="B135:F135"/>
    <mergeCell ref="B136:F136"/>
    <mergeCell ref="B137:F137"/>
    <mergeCell ref="B138:F138"/>
    <mergeCell ref="B127:F127"/>
    <mergeCell ref="B128:F128"/>
    <mergeCell ref="B129:F129"/>
    <mergeCell ref="B130:F130"/>
    <mergeCell ref="B131:F131"/>
    <mergeCell ref="B132:F132"/>
    <mergeCell ref="B121:F121"/>
    <mergeCell ref="B122:F122"/>
    <mergeCell ref="B123:F123"/>
    <mergeCell ref="B124:F124"/>
    <mergeCell ref="B125:F125"/>
    <mergeCell ref="B126:F126"/>
    <mergeCell ref="B115:F115"/>
    <mergeCell ref="B116:F116"/>
    <mergeCell ref="B117:F117"/>
    <mergeCell ref="B118:F118"/>
    <mergeCell ref="B119:F119"/>
    <mergeCell ref="B120:F120"/>
    <mergeCell ref="B109:F109"/>
    <mergeCell ref="B110:F110"/>
    <mergeCell ref="B111:F111"/>
    <mergeCell ref="B112:F112"/>
    <mergeCell ref="B113:F113"/>
    <mergeCell ref="B114:F114"/>
    <mergeCell ref="B103:F103"/>
    <mergeCell ref="B104:F104"/>
    <mergeCell ref="B105:F105"/>
    <mergeCell ref="B106:F106"/>
    <mergeCell ref="B107:F107"/>
    <mergeCell ref="B108:F108"/>
    <mergeCell ref="B97:F97"/>
    <mergeCell ref="B98:F98"/>
    <mergeCell ref="B99:F99"/>
    <mergeCell ref="B100:F100"/>
    <mergeCell ref="B101:F101"/>
    <mergeCell ref="B102:F102"/>
    <mergeCell ref="B94:F94"/>
    <mergeCell ref="B95:F95"/>
    <mergeCell ref="B96:F96"/>
    <mergeCell ref="B74:F74"/>
    <mergeCell ref="B75:F75"/>
    <mergeCell ref="B76:F76"/>
    <mergeCell ref="B77:F77"/>
    <mergeCell ref="B78:F78"/>
    <mergeCell ref="B67:F67"/>
    <mergeCell ref="B68:F68"/>
    <mergeCell ref="B69:F69"/>
    <mergeCell ref="B70:F70"/>
    <mergeCell ref="B71:F71"/>
    <mergeCell ref="B72:F72"/>
    <mergeCell ref="B61:F61"/>
    <mergeCell ref="B62:F62"/>
    <mergeCell ref="B63:F63"/>
    <mergeCell ref="B64:F64"/>
    <mergeCell ref="B65:F65"/>
    <mergeCell ref="B66:F66"/>
    <mergeCell ref="B55:F55"/>
    <mergeCell ref="B56:F56"/>
    <mergeCell ref="B57:F57"/>
    <mergeCell ref="B58:F58"/>
    <mergeCell ref="B59:F59"/>
    <mergeCell ref="B60:F60"/>
    <mergeCell ref="B52:F52"/>
    <mergeCell ref="B53:F53"/>
    <mergeCell ref="B54:F54"/>
    <mergeCell ref="D47:E47"/>
    <mergeCell ref="F47:G47"/>
    <mergeCell ref="A48:B48"/>
    <mergeCell ref="A49:B49"/>
    <mergeCell ref="A50:B50"/>
    <mergeCell ref="C48:D48"/>
    <mergeCell ref="C49:D49"/>
    <mergeCell ref="G49:H49"/>
    <mergeCell ref="G50:H50"/>
    <mergeCell ref="G51:H51"/>
    <mergeCell ref="B43:F43"/>
    <mergeCell ref="C50:D50"/>
    <mergeCell ref="E48:F48"/>
    <mergeCell ref="E49:F49"/>
    <mergeCell ref="E50:F50"/>
    <mergeCell ref="E51:F51"/>
    <mergeCell ref="C51:D51"/>
    <mergeCell ref="A51:B51"/>
    <mergeCell ref="B37:F37"/>
    <mergeCell ref="B38:F38"/>
    <mergeCell ref="B39:F39"/>
    <mergeCell ref="B40:F40"/>
    <mergeCell ref="B41:F41"/>
    <mergeCell ref="B42:F42"/>
    <mergeCell ref="B34:F34"/>
    <mergeCell ref="B35:F35"/>
    <mergeCell ref="B36:F36"/>
    <mergeCell ref="B25:F25"/>
    <mergeCell ref="B26:F26"/>
    <mergeCell ref="B27:F27"/>
    <mergeCell ref="B28:F28"/>
    <mergeCell ref="B29:F29"/>
    <mergeCell ref="B30:F30"/>
    <mergeCell ref="B11:F11"/>
    <mergeCell ref="B12:F12"/>
    <mergeCell ref="B8:D8"/>
    <mergeCell ref="B9:D9"/>
    <mergeCell ref="B10:D10"/>
    <mergeCell ref="G48:H48"/>
    <mergeCell ref="A1:H1"/>
    <mergeCell ref="B2:F2"/>
    <mergeCell ref="B3:D3"/>
    <mergeCell ref="B19:F19"/>
    <mergeCell ref="B20:F20"/>
    <mergeCell ref="B21:F21"/>
    <mergeCell ref="B22:F22"/>
    <mergeCell ref="B23:F23"/>
    <mergeCell ref="B24:F24"/>
    <mergeCell ref="B13:F13"/>
    <mergeCell ref="B14:F14"/>
    <mergeCell ref="B15:F15"/>
    <mergeCell ref="B16:F16"/>
    <mergeCell ref="B17:F17"/>
    <mergeCell ref="B18:F18"/>
    <mergeCell ref="B31:F31"/>
    <mergeCell ref="B32:F32"/>
    <mergeCell ref="B33:F33"/>
  </mergeCells>
  <phoneticPr fontId="2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Paige Bond</dc:creator>
  <cp:lastModifiedBy>Mohammed Abdo</cp:lastModifiedBy>
  <dcterms:created xsi:type="dcterms:W3CDTF">2013-10-13T13:17:30Z</dcterms:created>
  <dcterms:modified xsi:type="dcterms:W3CDTF">2014-05-08T16:54:54Z</dcterms:modified>
</cp:coreProperties>
</file>